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/>
  </bookViews>
  <sheets>
    <sheet name="orders" sheetId="2" r:id="rId1"/>
    <sheet name="products" sheetId="1" r:id="rId2"/>
    <sheet name="customers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</calcChain>
</file>

<file path=xl/sharedStrings.xml><?xml version="1.0" encoding="utf-8"?>
<sst xmlns="http://schemas.openxmlformats.org/spreadsheetml/2006/main" count="68" uniqueCount="58">
  <si>
    <t>order_id</t>
  </si>
  <si>
    <t>date</t>
  </si>
  <si>
    <t>customer_id</t>
  </si>
  <si>
    <t>product_id</t>
  </si>
  <si>
    <t>qty</t>
  </si>
  <si>
    <t>product_name</t>
  </si>
  <si>
    <t>calories</t>
  </si>
  <si>
    <t>protein</t>
  </si>
  <si>
    <t>carbs</t>
  </si>
  <si>
    <t>fat</t>
  </si>
  <si>
    <t xml:space="preserve">  Apple</t>
  </si>
  <si>
    <t>₹200</t>
  </si>
  <si>
    <t>Banana</t>
  </si>
  <si>
    <t>₹80</t>
  </si>
  <si>
    <t>Avocado</t>
  </si>
  <si>
    <t>₹100</t>
  </si>
  <si>
    <t>Broccoli</t>
  </si>
  <si>
    <t>₹30</t>
  </si>
  <si>
    <t>Chicken</t>
  </si>
  <si>
    <t>₹250</t>
  </si>
  <si>
    <t>Fish</t>
  </si>
  <si>
    <t>₹120</t>
  </si>
  <si>
    <t>Rice</t>
  </si>
  <si>
    <t>Pasta</t>
  </si>
  <si>
    <t>₹60</t>
  </si>
  <si>
    <t>Carrot</t>
  </si>
  <si>
    <t>₹40</t>
  </si>
  <si>
    <t>Celery</t>
  </si>
  <si>
    <t>₹50</t>
  </si>
  <si>
    <t xml:space="preserve">   Cheese</t>
  </si>
  <si>
    <t>Chocolate Cake</t>
  </si>
  <si>
    <t>Yogurt</t>
  </si>
  <si>
    <t xml:space="preserve"> Donut</t>
  </si>
  <si>
    <t>Eggs</t>
  </si>
  <si>
    <t>₹65</t>
  </si>
  <si>
    <t>French Fries</t>
  </si>
  <si>
    <t xml:space="preserve">      Grapefruit</t>
  </si>
  <si>
    <t>₹20</t>
  </si>
  <si>
    <t>Grape Juice</t>
  </si>
  <si>
    <t>Grilled Cheese</t>
  </si>
  <si>
    <t xml:space="preserve">          Hamburger</t>
  </si>
  <si>
    <t>₹70</t>
  </si>
  <si>
    <t>customer</t>
  </si>
  <si>
    <t>JaY</t>
  </si>
  <si>
    <t>johN</t>
  </si>
  <si>
    <t>TiM</t>
  </si>
  <si>
    <t>RavI</t>
  </si>
  <si>
    <t>Lisa</t>
  </si>
  <si>
    <t>ahmeD</t>
  </si>
  <si>
    <t>MiKe</t>
  </si>
  <si>
    <t>BRuce</t>
  </si>
  <si>
    <t>MahESh</t>
  </si>
  <si>
    <t>AnthoNY</t>
  </si>
  <si>
    <t>price (in INR)</t>
  </si>
  <si>
    <t>Customer Name</t>
  </si>
  <si>
    <t>Product Name</t>
  </si>
  <si>
    <t>Total Price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</si>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</sst>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2" formatCode="0.00"/>
    </dxf>
    <dxf>
      <numFmt numFmtId="30" formatCode="@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2" name="orders" displayName="orders" ref="A1:I106" totalsRowShown="0">
  <autoFilter ref="A1:I106"/>
  <tableColumns count="9">
    <tableColumn id="1" name="order_id" dataDxfId="13"/>
    <tableColumn id="2" name="date" dataDxfId="12"/>
    <tableColumn id="3" name="customer_id" dataDxfId="11"/>
    <tableColumn id="4" name="product_id" dataDxfId="10"/>
    <tableColumn id="7" name="qty" dataDxfId="9"/>
    <tableColumn id="6" name="Customer Name" dataDxfId="5">
      <calculatedColumnFormula>VLOOKUP(C2,customers!A:B,2,FALSE)</calculatedColumnFormula>
    </tableColumn>
    <tableColumn id="8" name="Product Name" dataDxfId="4">
      <calculatedColumnFormula>INDEX(products!B:B, MATCH(D2, products!A:A, 0))</calculatedColumnFormula>
    </tableColumn>
    <tableColumn id="10" name="Price" dataDxfId="1">
      <calculatedColumnFormula>VLOOKUP(D2,products!A:C,3,FALSE)</calculatedColumnFormula>
    </tableColumn>
    <tableColumn id="11" name="Total Price" dataDxfId="0">
      <calculatedColumnFormula>orders[[#This Row],[qty]]*orders[[#This Row],[Price]]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products" displayName="products" ref="A1:G21" totalsRowShown="0">
  <autoFilter ref="A1:G21"/>
  <tableColumns count="7">
    <tableColumn id="1" name="product_id" dataDxfId="8"/>
    <tableColumn id="2" name="product_name"/>
    <tableColumn id="3" name="calories"/>
    <tableColumn id="4" name="protein"/>
    <tableColumn id="5" name="carbs"/>
    <tableColumn id="6" name="fat"/>
    <tableColumn id="7" name="price (in INR)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customers" displayName="customers" ref="A1:B11" totalsRowShown="0">
  <autoFilter ref="A1:B11"/>
  <tableColumns count="2">
    <tableColumn id="1" name="customer_id" dataDxfId="6"/>
    <tableColumn id="2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topLeftCell="C1" workbookViewId="0">
      <selection activeCell="E33" sqref="E33"/>
    </sheetView>
  </sheetViews>
  <sheetFormatPr defaultRowHeight="15" x14ac:dyDescent="0.25"/>
  <cols>
    <col min="1" max="1" width="19" style="2" customWidth="1"/>
    <col min="2" max="2" width="14.85546875" style="1" customWidth="1"/>
    <col min="3" max="3" width="16.140625" style="2" customWidth="1"/>
    <col min="4" max="4" width="20.7109375" customWidth="1"/>
    <col min="5" max="5" width="18.42578125" customWidth="1"/>
    <col min="6" max="6" width="33" customWidth="1"/>
    <col min="7" max="7" width="23" customWidth="1"/>
    <col min="8" max="8" width="29.28515625" customWidth="1"/>
    <col min="9" max="9" width="32.28515625" customWidth="1"/>
  </cols>
  <sheetData>
    <row r="1" spans="1:9" x14ac:dyDescent="0.25">
      <c r="A1" s="2" t="s">
        <v>0</v>
      </c>
      <c r="B1" s="1" t="s">
        <v>1</v>
      </c>
      <c r="C1" s="2" t="s">
        <v>2</v>
      </c>
      <c r="D1" s="3" t="s">
        <v>3</v>
      </c>
      <c r="E1" t="s">
        <v>4</v>
      </c>
      <c r="F1" t="s">
        <v>54</v>
      </c>
      <c r="G1" t="s">
        <v>55</v>
      </c>
      <c r="H1" t="s">
        <v>57</v>
      </c>
      <c r="I1" t="s">
        <v>56</v>
      </c>
    </row>
    <row r="2" spans="1:9" x14ac:dyDescent="0.25">
      <c r="A2" s="2">
        <v>1125</v>
      </c>
      <c r="B2" s="1">
        <v>44958</v>
      </c>
      <c r="C2" s="2">
        <v>11</v>
      </c>
      <c r="D2" s="3">
        <v>704</v>
      </c>
      <c r="E2">
        <v>6</v>
      </c>
      <c r="F2" t="str">
        <f>VLOOKUP(C2,customers!A:B,2,FALSE)</f>
        <v>AnthoNY</v>
      </c>
      <c r="G2" t="str">
        <f>INDEX(products!B:B, MATCH(D2, products!A:A, 0))</f>
        <v>Eggs</v>
      </c>
      <c r="H2" s="4">
        <f>VLOOKUP(D2,products!A:C,3,FALSE)</f>
        <v>155</v>
      </c>
      <c r="I2" s="4">
        <f>orders[[#This Row],[qty]]*orders[[#This Row],[Price]]</f>
        <v>930</v>
      </c>
    </row>
    <row r="3" spans="1:9" x14ac:dyDescent="0.25">
      <c r="A3" s="2">
        <v>1127</v>
      </c>
      <c r="B3" s="1">
        <v>44958</v>
      </c>
      <c r="C3" s="2">
        <v>19</v>
      </c>
      <c r="D3" s="3">
        <v>392</v>
      </c>
      <c r="E3">
        <v>2</v>
      </c>
      <c r="F3" t="str">
        <f>VLOOKUP(C3,customers!A:B,2,FALSE)</f>
        <v>ahmeD</v>
      </c>
      <c r="G3" t="str">
        <f>INDEX(products!B:B, MATCH(D3, products!A:A, 0))</f>
        <v>Yogurt</v>
      </c>
      <c r="H3" s="4">
        <f>VLOOKUP(D3,products!A:C,3,FALSE)</f>
        <v>118</v>
      </c>
      <c r="I3" s="4">
        <f>orders[[#This Row],[qty]]*orders[[#This Row],[Price]]</f>
        <v>236</v>
      </c>
    </row>
    <row r="4" spans="1:9" x14ac:dyDescent="0.25">
      <c r="A4" s="2">
        <v>1152</v>
      </c>
      <c r="B4" s="1">
        <v>44958</v>
      </c>
      <c r="C4" s="2">
        <v>14</v>
      </c>
      <c r="D4" s="3">
        <v>646</v>
      </c>
      <c r="E4">
        <v>7</v>
      </c>
      <c r="F4" t="str">
        <f>VLOOKUP(C4,customers!A:B,2,FALSE)</f>
        <v>RavI</v>
      </c>
      <c r="G4" t="str">
        <f>INDEX(products!B:B, MATCH(D4, products!A:A, 0))</f>
        <v xml:space="preserve">  Apple</v>
      </c>
      <c r="H4" s="4">
        <f>VLOOKUP(D4,products!A:C,3,FALSE)</f>
        <v>52</v>
      </c>
      <c r="I4" s="4">
        <f>orders[[#This Row],[qty]]*orders[[#This Row],[Price]]</f>
        <v>364</v>
      </c>
    </row>
    <row r="5" spans="1:9" x14ac:dyDescent="0.25">
      <c r="A5" s="2">
        <v>1153</v>
      </c>
      <c r="B5" s="1">
        <v>44958</v>
      </c>
      <c r="C5" s="2">
        <v>35</v>
      </c>
      <c r="D5" s="3">
        <v>294</v>
      </c>
      <c r="E5">
        <v>9</v>
      </c>
      <c r="F5" t="str">
        <f>VLOOKUP(C5,customers!A:B,2,FALSE)</f>
        <v>MiKe</v>
      </c>
      <c r="G5" t="str">
        <f>INDEX(products!B:B, MATCH(D5, products!A:A, 0))</f>
        <v>Rice</v>
      </c>
      <c r="H5" s="4">
        <f>VLOOKUP(D5,products!A:C,3,FALSE)</f>
        <v>130</v>
      </c>
      <c r="I5" s="4">
        <f>orders[[#This Row],[qty]]*orders[[#This Row],[Price]]</f>
        <v>1170</v>
      </c>
    </row>
    <row r="6" spans="1:9" x14ac:dyDescent="0.25">
      <c r="A6" s="2">
        <v>1161</v>
      </c>
      <c r="B6" s="1">
        <v>44958</v>
      </c>
      <c r="C6" s="2">
        <v>35</v>
      </c>
      <c r="D6" s="3">
        <v>651</v>
      </c>
      <c r="E6">
        <v>6</v>
      </c>
      <c r="F6" t="str">
        <f>VLOOKUP(C6,customers!A:B,2,FALSE)</f>
        <v>MiKe</v>
      </c>
      <c r="G6" t="str">
        <f>INDEX(products!B:B, MATCH(D6, products!A:A, 0))</f>
        <v>Banana</v>
      </c>
      <c r="H6" s="4">
        <f>VLOOKUP(D6,products!A:C,3,FALSE)</f>
        <v>89</v>
      </c>
      <c r="I6" s="4">
        <f>orders[[#This Row],[qty]]*orders[[#This Row],[Price]]</f>
        <v>534</v>
      </c>
    </row>
    <row r="7" spans="1:9" x14ac:dyDescent="0.25">
      <c r="A7" s="2">
        <v>1163</v>
      </c>
      <c r="B7" s="1">
        <v>44959</v>
      </c>
      <c r="C7" s="2">
        <v>50</v>
      </c>
      <c r="D7" s="3">
        <v>646</v>
      </c>
      <c r="E7">
        <v>4</v>
      </c>
      <c r="F7" t="str">
        <f>VLOOKUP(C7,customers!A:B,2,FALSE)</f>
        <v>BRuce</v>
      </c>
      <c r="G7" t="str">
        <f>INDEX(products!B:B, MATCH(D7, products!A:A, 0))</f>
        <v xml:space="preserve">  Apple</v>
      </c>
      <c r="H7" s="4">
        <f>VLOOKUP(D7,products!A:C,3,FALSE)</f>
        <v>52</v>
      </c>
      <c r="I7" s="4">
        <f>orders[[#This Row],[qty]]*orders[[#This Row],[Price]]</f>
        <v>208</v>
      </c>
    </row>
    <row r="8" spans="1:9" x14ac:dyDescent="0.25">
      <c r="A8" s="2">
        <v>1167</v>
      </c>
      <c r="B8" s="1">
        <v>44959</v>
      </c>
      <c r="C8" s="2">
        <v>35</v>
      </c>
      <c r="D8" s="3">
        <v>739</v>
      </c>
      <c r="E8">
        <v>9</v>
      </c>
      <c r="F8" t="str">
        <f>VLOOKUP(C8,customers!A:B,2,FALSE)</f>
        <v>MiKe</v>
      </c>
      <c r="G8" t="str">
        <f>INDEX(products!B:B, MATCH(D8, products!A:A, 0))</f>
        <v xml:space="preserve"> Donut</v>
      </c>
      <c r="H8" s="4">
        <f>VLOOKUP(D8,products!A:C,3,FALSE)</f>
        <v>452</v>
      </c>
      <c r="I8" s="4">
        <f>orders[[#This Row],[qty]]*orders[[#This Row],[Price]]</f>
        <v>4068</v>
      </c>
    </row>
    <row r="9" spans="1:9" x14ac:dyDescent="0.25">
      <c r="A9" s="2">
        <v>1167</v>
      </c>
      <c r="B9" s="1">
        <v>44959</v>
      </c>
      <c r="C9" s="2">
        <v>35</v>
      </c>
      <c r="D9" s="3">
        <v>739</v>
      </c>
      <c r="E9">
        <v>8</v>
      </c>
      <c r="F9" t="str">
        <f>VLOOKUP(C9,customers!A:B,2,FALSE)</f>
        <v>MiKe</v>
      </c>
      <c r="G9" t="str">
        <f>INDEX(products!B:B, MATCH(D9, products!A:A, 0))</f>
        <v xml:space="preserve"> Donut</v>
      </c>
      <c r="H9" s="4">
        <f>VLOOKUP(D9,products!A:C,3,FALSE)</f>
        <v>452</v>
      </c>
      <c r="I9" s="4">
        <f>orders[[#This Row],[qty]]*orders[[#This Row],[Price]]</f>
        <v>3616</v>
      </c>
    </row>
    <row r="10" spans="1:9" x14ac:dyDescent="0.25">
      <c r="A10" s="2">
        <v>1176</v>
      </c>
      <c r="B10" s="1">
        <v>44959</v>
      </c>
      <c r="C10" s="2">
        <v>11</v>
      </c>
      <c r="D10" s="3">
        <v>628</v>
      </c>
      <c r="E10">
        <v>5</v>
      </c>
      <c r="F10" t="str">
        <f>VLOOKUP(C10,customers!A:B,2,FALSE)</f>
        <v>AnthoNY</v>
      </c>
      <c r="G10" t="str">
        <f>INDEX(products!B:B, MATCH(D10, products!A:A, 0))</f>
        <v>Fish</v>
      </c>
      <c r="H10" s="4">
        <f>VLOOKUP(D10,products!A:C,3,FALSE)</f>
        <v>206</v>
      </c>
      <c r="I10" s="4">
        <f>orders[[#This Row],[qty]]*orders[[#This Row],[Price]]</f>
        <v>1030</v>
      </c>
    </row>
    <row r="11" spans="1:9" x14ac:dyDescent="0.25">
      <c r="A11" s="2">
        <v>1183</v>
      </c>
      <c r="B11" s="1">
        <v>44959</v>
      </c>
      <c r="C11" s="2">
        <v>21</v>
      </c>
      <c r="D11" s="3">
        <v>163</v>
      </c>
      <c r="E11">
        <v>7</v>
      </c>
      <c r="F11" t="str">
        <f>VLOOKUP(C11,customers!A:B,2,FALSE)</f>
        <v>Lisa</v>
      </c>
      <c r="G11" t="str">
        <f>INDEX(products!B:B, MATCH(D11, products!A:A, 0))</f>
        <v>Grape Juice</v>
      </c>
      <c r="H11" s="4">
        <f>VLOOKUP(D11,products!A:C,3,FALSE)</f>
        <v>152</v>
      </c>
      <c r="I11" s="4">
        <f>orders[[#This Row],[qty]]*orders[[#This Row],[Price]]</f>
        <v>1064</v>
      </c>
    </row>
    <row r="12" spans="1:9" x14ac:dyDescent="0.25">
      <c r="A12" s="2">
        <v>1187</v>
      </c>
      <c r="B12" s="1">
        <v>44959</v>
      </c>
      <c r="C12" s="2">
        <v>19</v>
      </c>
      <c r="D12" s="3">
        <v>594</v>
      </c>
      <c r="E12">
        <v>6</v>
      </c>
      <c r="F12" t="str">
        <f>VLOOKUP(C12,customers!A:B,2,FALSE)</f>
        <v>ahmeD</v>
      </c>
      <c r="G12" t="str">
        <f>INDEX(products!B:B, MATCH(D12, products!A:A, 0))</f>
        <v>Chicken</v>
      </c>
      <c r="H12" s="4">
        <f>VLOOKUP(D12,products!A:C,3,FALSE)</f>
        <v>335</v>
      </c>
      <c r="I12" s="4">
        <f>orders[[#This Row],[qty]]*orders[[#This Row],[Price]]</f>
        <v>2010</v>
      </c>
    </row>
    <row r="13" spans="1:9" x14ac:dyDescent="0.25">
      <c r="A13" s="2">
        <v>1193</v>
      </c>
      <c r="B13" s="1">
        <v>44960</v>
      </c>
      <c r="C13" s="2">
        <v>34</v>
      </c>
      <c r="D13" s="3">
        <v>651</v>
      </c>
      <c r="E13">
        <v>2</v>
      </c>
      <c r="F13" t="str">
        <f>VLOOKUP(C13,customers!A:B,2,FALSE)</f>
        <v>JaY</v>
      </c>
      <c r="G13" t="str">
        <f>INDEX(products!B:B, MATCH(D13, products!A:A, 0))</f>
        <v>Banana</v>
      </c>
      <c r="H13" s="4">
        <f>VLOOKUP(D13,products!A:C,3,FALSE)</f>
        <v>89</v>
      </c>
      <c r="I13" s="4">
        <f>orders[[#This Row],[qty]]*orders[[#This Row],[Price]]</f>
        <v>178</v>
      </c>
    </row>
    <row r="14" spans="1:9" x14ac:dyDescent="0.25">
      <c r="A14" s="2">
        <v>1194</v>
      </c>
      <c r="B14" s="1">
        <v>44960</v>
      </c>
      <c r="C14" s="2">
        <v>11</v>
      </c>
      <c r="D14" s="3">
        <v>600</v>
      </c>
      <c r="E14">
        <v>9</v>
      </c>
      <c r="F14" t="str">
        <f>VLOOKUP(C14,customers!A:B,2,FALSE)</f>
        <v>AnthoNY</v>
      </c>
      <c r="G14" t="str">
        <f>INDEX(products!B:B, MATCH(D14, products!A:A, 0))</f>
        <v xml:space="preserve">      Grapefruit</v>
      </c>
      <c r="H14" s="4">
        <f>VLOOKUP(D14,products!A:C,3,FALSE)</f>
        <v>42</v>
      </c>
      <c r="I14" s="4">
        <f>orders[[#This Row],[qty]]*orders[[#This Row],[Price]]</f>
        <v>378</v>
      </c>
    </row>
    <row r="15" spans="1:9" x14ac:dyDescent="0.25">
      <c r="A15" s="2">
        <v>1195</v>
      </c>
      <c r="B15" s="1">
        <v>44960</v>
      </c>
      <c r="C15" s="2">
        <v>29</v>
      </c>
      <c r="D15" s="3">
        <v>739</v>
      </c>
      <c r="E15">
        <v>3</v>
      </c>
      <c r="F15" t="str">
        <f>VLOOKUP(C15,customers!A:B,2,FALSE)</f>
        <v>johN</v>
      </c>
      <c r="G15" t="str">
        <f>INDEX(products!B:B, MATCH(D15, products!A:A, 0))</f>
        <v xml:space="preserve"> Donut</v>
      </c>
      <c r="H15" s="4">
        <f>VLOOKUP(D15,products!A:C,3,FALSE)</f>
        <v>452</v>
      </c>
      <c r="I15" s="4">
        <f>orders[[#This Row],[qty]]*orders[[#This Row],[Price]]</f>
        <v>1356</v>
      </c>
    </row>
    <row r="16" spans="1:9" x14ac:dyDescent="0.25">
      <c r="A16" s="2">
        <v>1199</v>
      </c>
      <c r="B16" s="1">
        <v>44960</v>
      </c>
      <c r="C16" s="2">
        <v>35</v>
      </c>
      <c r="D16" s="3">
        <v>797</v>
      </c>
      <c r="F16" t="str">
        <f>VLOOKUP(C16,customers!A:B,2,FALSE)</f>
        <v>MiKe</v>
      </c>
      <c r="G16" t="str">
        <f>INDEX(products!B:B, MATCH(D16, products!A:A, 0))</f>
        <v xml:space="preserve">   Cheese</v>
      </c>
      <c r="H16" s="4">
        <f>VLOOKUP(D16,products!A:C,3,FALSE)</f>
        <v>402</v>
      </c>
      <c r="I16" s="4">
        <f>orders[[#This Row],[qty]]*orders[[#This Row],[Price]]</f>
        <v>0</v>
      </c>
    </row>
    <row r="17" spans="1:9" x14ac:dyDescent="0.25">
      <c r="A17" s="2">
        <v>1200</v>
      </c>
      <c r="B17" s="1">
        <v>44960</v>
      </c>
      <c r="C17" s="2">
        <v>79</v>
      </c>
      <c r="D17" s="3">
        <v>521</v>
      </c>
      <c r="E17">
        <v>3</v>
      </c>
      <c r="F17" t="str">
        <f>VLOOKUP(C17,customers!A:B,2,FALSE)</f>
        <v>TiM</v>
      </c>
      <c r="G17" t="str">
        <f>INDEX(products!B:B, MATCH(D17, products!A:A, 0))</f>
        <v>Carrot</v>
      </c>
      <c r="H17" s="4">
        <f>VLOOKUP(D17,products!A:C,3,FALSE)</f>
        <v>41</v>
      </c>
      <c r="I17" s="4">
        <f>orders[[#This Row],[qty]]*orders[[#This Row],[Price]]</f>
        <v>123</v>
      </c>
    </row>
    <row r="18" spans="1:9" x14ac:dyDescent="0.25">
      <c r="A18" s="2">
        <v>1206</v>
      </c>
      <c r="B18" s="1">
        <v>44961</v>
      </c>
      <c r="C18" s="2">
        <v>11</v>
      </c>
      <c r="D18" s="3">
        <v>886</v>
      </c>
      <c r="F18" t="str">
        <f>VLOOKUP(C18,customers!A:B,2,FALSE)</f>
        <v>AnthoNY</v>
      </c>
      <c r="G18" t="str">
        <f>INDEX(products!B:B, MATCH(D18, products!A:A, 0))</f>
        <v>Avocado</v>
      </c>
      <c r="H18" s="4">
        <f>VLOOKUP(D18,products!A:C,3,FALSE)</f>
        <v>322</v>
      </c>
      <c r="I18" s="4">
        <f>orders[[#This Row],[qty]]*orders[[#This Row],[Price]]</f>
        <v>0</v>
      </c>
    </row>
    <row r="19" spans="1:9" x14ac:dyDescent="0.25">
      <c r="A19" s="2">
        <v>1211</v>
      </c>
      <c r="B19" s="1">
        <v>44961</v>
      </c>
      <c r="C19" s="2">
        <v>79</v>
      </c>
      <c r="D19" s="3">
        <v>646</v>
      </c>
      <c r="E19">
        <v>7</v>
      </c>
      <c r="F19" t="str">
        <f>VLOOKUP(C19,customers!A:B,2,FALSE)</f>
        <v>TiM</v>
      </c>
      <c r="G19" t="str">
        <f>INDEX(products!B:B, MATCH(D19, products!A:A, 0))</f>
        <v xml:space="preserve">  Apple</v>
      </c>
      <c r="H19" s="4">
        <f>VLOOKUP(D19,products!A:C,3,FALSE)</f>
        <v>52</v>
      </c>
      <c r="I19" s="4">
        <f>orders[[#This Row],[qty]]*orders[[#This Row],[Price]]</f>
        <v>364</v>
      </c>
    </row>
    <row r="20" spans="1:9" x14ac:dyDescent="0.25">
      <c r="A20" s="2">
        <v>1213</v>
      </c>
      <c r="B20" s="1">
        <v>44961</v>
      </c>
      <c r="C20" s="2">
        <v>29</v>
      </c>
      <c r="D20" s="3">
        <v>328</v>
      </c>
      <c r="E20">
        <v>10</v>
      </c>
      <c r="F20" t="str">
        <f>VLOOKUP(C20,customers!A:B,2,FALSE)</f>
        <v>johN</v>
      </c>
      <c r="G20" t="str">
        <f>INDEX(products!B:B, MATCH(D20, products!A:A, 0))</f>
        <v>Pasta</v>
      </c>
      <c r="H20" s="4">
        <f>VLOOKUP(D20,products!A:C,3,FALSE)</f>
        <v>131</v>
      </c>
      <c r="I20" s="4">
        <f>orders[[#This Row],[qty]]*orders[[#This Row],[Price]]</f>
        <v>1310</v>
      </c>
    </row>
    <row r="21" spans="1:9" x14ac:dyDescent="0.25">
      <c r="A21" s="2">
        <v>1215</v>
      </c>
      <c r="B21" s="1">
        <v>44961</v>
      </c>
      <c r="C21" s="2">
        <v>21</v>
      </c>
      <c r="D21" s="3">
        <v>811</v>
      </c>
      <c r="E21">
        <v>3</v>
      </c>
      <c r="F21" t="str">
        <f>VLOOKUP(C21,customers!A:B,2,FALSE)</f>
        <v>Lisa</v>
      </c>
      <c r="G21" t="str">
        <f>INDEX(products!B:B, MATCH(D21, products!A:A, 0))</f>
        <v>Celery</v>
      </c>
      <c r="H21" s="4">
        <f>VLOOKUP(D21,products!A:C,3,FALSE)</f>
        <v>16</v>
      </c>
      <c r="I21" s="4">
        <f>orders[[#This Row],[qty]]*orders[[#This Row],[Price]]</f>
        <v>48</v>
      </c>
    </row>
    <row r="22" spans="1:9" x14ac:dyDescent="0.25">
      <c r="A22" s="2">
        <v>1227</v>
      </c>
      <c r="B22" s="1">
        <v>44961</v>
      </c>
      <c r="C22" s="2">
        <v>50</v>
      </c>
      <c r="D22" s="3">
        <v>704</v>
      </c>
      <c r="E22">
        <v>5</v>
      </c>
      <c r="F22" t="str">
        <f>VLOOKUP(C22,customers!A:B,2,FALSE)</f>
        <v>BRuce</v>
      </c>
      <c r="G22" t="str">
        <f>INDEX(products!B:B, MATCH(D22, products!A:A, 0))</f>
        <v>Eggs</v>
      </c>
      <c r="H22" s="4">
        <f>VLOOKUP(D22,products!A:C,3,FALSE)</f>
        <v>155</v>
      </c>
      <c r="I22" s="4">
        <f>orders[[#This Row],[qty]]*orders[[#This Row],[Price]]</f>
        <v>775</v>
      </c>
    </row>
    <row r="23" spans="1:9" x14ac:dyDescent="0.25">
      <c r="A23" s="2">
        <v>1233</v>
      </c>
      <c r="B23" s="1">
        <v>44962</v>
      </c>
      <c r="C23" s="2">
        <v>79</v>
      </c>
      <c r="D23" s="3">
        <v>328</v>
      </c>
      <c r="E23">
        <v>10</v>
      </c>
      <c r="F23" t="str">
        <f>VLOOKUP(C23,customers!A:B,2,FALSE)</f>
        <v>TiM</v>
      </c>
      <c r="G23" t="str">
        <f>INDEX(products!B:B, MATCH(D23, products!A:A, 0))</f>
        <v>Pasta</v>
      </c>
      <c r="H23" s="4">
        <f>VLOOKUP(D23,products!A:C,3,FALSE)</f>
        <v>131</v>
      </c>
      <c r="I23" s="4">
        <f>orders[[#This Row],[qty]]*orders[[#This Row],[Price]]</f>
        <v>1310</v>
      </c>
    </row>
    <row r="24" spans="1:9" x14ac:dyDescent="0.25">
      <c r="A24" s="2">
        <v>1235</v>
      </c>
      <c r="B24" s="1">
        <v>44962</v>
      </c>
      <c r="C24" s="2">
        <v>14</v>
      </c>
      <c r="D24" s="3">
        <v>163</v>
      </c>
      <c r="E24">
        <v>10</v>
      </c>
      <c r="F24" t="str">
        <f>VLOOKUP(C24,customers!A:B,2,FALSE)</f>
        <v>RavI</v>
      </c>
      <c r="G24" t="str">
        <f>INDEX(products!B:B, MATCH(D24, products!A:A, 0))</f>
        <v>Grape Juice</v>
      </c>
      <c r="H24" s="4">
        <f>VLOOKUP(D24,products!A:C,3,FALSE)</f>
        <v>152</v>
      </c>
      <c r="I24" s="4">
        <f>orders[[#This Row],[qty]]*orders[[#This Row],[Price]]</f>
        <v>1520</v>
      </c>
    </row>
    <row r="25" spans="1:9" x14ac:dyDescent="0.25">
      <c r="A25" s="2">
        <v>1255</v>
      </c>
      <c r="B25" s="1">
        <v>44962</v>
      </c>
      <c r="C25" s="2">
        <v>50</v>
      </c>
      <c r="D25" s="3">
        <v>521</v>
      </c>
      <c r="E25">
        <v>2</v>
      </c>
      <c r="F25" t="str">
        <f>VLOOKUP(C25,customers!A:B,2,FALSE)</f>
        <v>BRuce</v>
      </c>
      <c r="G25" t="str">
        <f>INDEX(products!B:B, MATCH(D25, products!A:A, 0))</f>
        <v>Carrot</v>
      </c>
      <c r="H25" s="4">
        <f>VLOOKUP(D25,products!A:C,3,FALSE)</f>
        <v>41</v>
      </c>
      <c r="I25" s="4">
        <f>orders[[#This Row],[qty]]*orders[[#This Row],[Price]]</f>
        <v>82</v>
      </c>
    </row>
    <row r="26" spans="1:9" x14ac:dyDescent="0.25">
      <c r="A26" s="2">
        <v>1257</v>
      </c>
      <c r="B26" s="1">
        <v>44962</v>
      </c>
      <c r="C26" s="2">
        <v>11</v>
      </c>
      <c r="D26" s="3">
        <v>590</v>
      </c>
      <c r="E26">
        <v>8</v>
      </c>
      <c r="F26" t="str">
        <f>VLOOKUP(C26,customers!A:B,2,FALSE)</f>
        <v>AnthoNY</v>
      </c>
      <c r="G26" t="str">
        <f>INDEX(products!B:B, MATCH(D26, products!A:A, 0))</f>
        <v>French Fries</v>
      </c>
      <c r="H26" s="4">
        <f>VLOOKUP(D26,products!A:C,3,FALSE)</f>
        <v>365</v>
      </c>
      <c r="I26" s="4">
        <f>orders[[#This Row],[qty]]*orders[[#This Row],[Price]]</f>
        <v>2920</v>
      </c>
    </row>
    <row r="27" spans="1:9" x14ac:dyDescent="0.25">
      <c r="A27" s="2">
        <v>1258</v>
      </c>
      <c r="B27" s="1">
        <v>44962</v>
      </c>
      <c r="C27" s="2">
        <v>34</v>
      </c>
      <c r="D27" s="3">
        <v>704</v>
      </c>
      <c r="E27">
        <v>4</v>
      </c>
      <c r="F27" t="str">
        <f>VLOOKUP(C27,customers!A:B,2,FALSE)</f>
        <v>JaY</v>
      </c>
      <c r="G27" t="str">
        <f>INDEX(products!B:B, MATCH(D27, products!A:A, 0))</f>
        <v>Eggs</v>
      </c>
      <c r="H27" s="4">
        <f>VLOOKUP(D27,products!A:C,3,FALSE)</f>
        <v>155</v>
      </c>
      <c r="I27" s="4">
        <f>orders[[#This Row],[qty]]*orders[[#This Row],[Price]]</f>
        <v>620</v>
      </c>
    </row>
    <row r="28" spans="1:9" x14ac:dyDescent="0.25">
      <c r="A28" s="2">
        <v>1273</v>
      </c>
      <c r="B28" s="1">
        <v>44963</v>
      </c>
      <c r="C28" s="2">
        <v>50</v>
      </c>
      <c r="D28" s="3">
        <v>886</v>
      </c>
      <c r="E28">
        <v>3</v>
      </c>
      <c r="F28" t="str">
        <f>VLOOKUP(C28,customers!A:B,2,FALSE)</f>
        <v>BRuce</v>
      </c>
      <c r="G28" t="str">
        <f>INDEX(products!B:B, MATCH(D28, products!A:A, 0))</f>
        <v>Avocado</v>
      </c>
      <c r="H28" s="4">
        <f>VLOOKUP(D28,products!A:C,3,FALSE)</f>
        <v>322</v>
      </c>
      <c r="I28" s="4">
        <f>orders[[#This Row],[qty]]*orders[[#This Row],[Price]]</f>
        <v>966</v>
      </c>
    </row>
    <row r="29" spans="1:9" x14ac:dyDescent="0.25">
      <c r="A29" s="2">
        <v>1277</v>
      </c>
      <c r="B29" s="1">
        <v>44963</v>
      </c>
      <c r="C29" s="2">
        <v>34</v>
      </c>
      <c r="D29" s="3">
        <v>704</v>
      </c>
      <c r="E29">
        <v>6</v>
      </c>
      <c r="F29" t="str">
        <f>VLOOKUP(C29,customers!A:B,2,FALSE)</f>
        <v>JaY</v>
      </c>
      <c r="G29" t="str">
        <f>INDEX(products!B:B, MATCH(D29, products!A:A, 0))</f>
        <v>Eggs</v>
      </c>
      <c r="H29" s="4">
        <f>VLOOKUP(D29,products!A:C,3,FALSE)</f>
        <v>155</v>
      </c>
      <c r="I29" s="4">
        <f>orders[[#This Row],[qty]]*orders[[#This Row],[Price]]</f>
        <v>930</v>
      </c>
    </row>
    <row r="30" spans="1:9" x14ac:dyDescent="0.25">
      <c r="A30" s="2">
        <v>1289</v>
      </c>
      <c r="B30" s="1">
        <v>44963</v>
      </c>
      <c r="C30" s="2">
        <v>19</v>
      </c>
      <c r="D30" s="3">
        <v>811</v>
      </c>
      <c r="E30">
        <v>6</v>
      </c>
      <c r="F30" t="str">
        <f>VLOOKUP(C30,customers!A:B,2,FALSE)</f>
        <v>ahmeD</v>
      </c>
      <c r="G30" t="str">
        <f>INDEX(products!B:B, MATCH(D30, products!A:A, 0))</f>
        <v>Celery</v>
      </c>
      <c r="H30" s="4">
        <f>VLOOKUP(D30,products!A:C,3,FALSE)</f>
        <v>16</v>
      </c>
      <c r="I30" s="4">
        <f>orders[[#This Row],[qty]]*orders[[#This Row],[Price]]</f>
        <v>96</v>
      </c>
    </row>
    <row r="31" spans="1:9" x14ac:dyDescent="0.25">
      <c r="A31" s="2">
        <v>1290</v>
      </c>
      <c r="B31" s="1">
        <v>44963</v>
      </c>
      <c r="C31" s="2">
        <v>35</v>
      </c>
      <c r="D31" s="3">
        <v>600</v>
      </c>
      <c r="E31">
        <v>5</v>
      </c>
      <c r="F31" t="str">
        <f>VLOOKUP(C31,customers!A:B,2,FALSE)</f>
        <v>MiKe</v>
      </c>
      <c r="G31" t="str">
        <f>INDEX(products!B:B, MATCH(D31, products!A:A, 0))</f>
        <v xml:space="preserve">      Grapefruit</v>
      </c>
      <c r="H31" s="4">
        <f>VLOOKUP(D31,products!A:C,3,FALSE)</f>
        <v>42</v>
      </c>
      <c r="I31" s="4">
        <f>orders[[#This Row],[qty]]*orders[[#This Row],[Price]]</f>
        <v>210</v>
      </c>
    </row>
    <row r="32" spans="1:9" x14ac:dyDescent="0.25">
      <c r="A32" s="2">
        <v>1292</v>
      </c>
      <c r="B32" s="1">
        <v>44963</v>
      </c>
      <c r="C32" s="2">
        <v>14</v>
      </c>
      <c r="D32" s="3">
        <v>804</v>
      </c>
      <c r="E32">
        <v>2</v>
      </c>
      <c r="F32" t="str">
        <f>VLOOKUP(C32,customers!A:B,2,FALSE)</f>
        <v>RavI</v>
      </c>
      <c r="G32" t="str">
        <f>INDEX(products!B:B, MATCH(D32, products!A:A, 0))</f>
        <v>Broccoli</v>
      </c>
      <c r="H32" s="4">
        <f>VLOOKUP(D32,products!A:C,3,FALSE)</f>
        <v>34</v>
      </c>
      <c r="I32" s="4">
        <f>orders[[#This Row],[qty]]*orders[[#This Row],[Price]]</f>
        <v>68</v>
      </c>
    </row>
    <row r="33" spans="1:9" x14ac:dyDescent="0.25">
      <c r="A33" s="2">
        <v>1294</v>
      </c>
      <c r="B33" s="1">
        <v>44964</v>
      </c>
      <c r="C33" s="2">
        <v>19</v>
      </c>
      <c r="D33" s="3">
        <v>651</v>
      </c>
      <c r="E33">
        <v>3</v>
      </c>
      <c r="F33" t="str">
        <f>VLOOKUP(C33,customers!A:B,2,FALSE)</f>
        <v>ahmeD</v>
      </c>
      <c r="G33" t="str">
        <f>INDEX(products!B:B, MATCH(D33, products!A:A, 0))</f>
        <v>Banana</v>
      </c>
      <c r="H33" s="4">
        <f>VLOOKUP(D33,products!A:C,3,FALSE)</f>
        <v>89</v>
      </c>
      <c r="I33" s="4">
        <f>orders[[#This Row],[qty]]*orders[[#This Row],[Price]]</f>
        <v>267</v>
      </c>
    </row>
    <row r="34" spans="1:9" x14ac:dyDescent="0.25">
      <c r="A34" s="2">
        <v>1295</v>
      </c>
      <c r="B34" s="1">
        <v>44964</v>
      </c>
      <c r="C34" s="2">
        <v>14</v>
      </c>
      <c r="D34" s="3">
        <v>521</v>
      </c>
      <c r="E34">
        <v>4</v>
      </c>
      <c r="F34" t="str">
        <f>VLOOKUP(C34,customers!A:B,2,FALSE)</f>
        <v>RavI</v>
      </c>
      <c r="G34" t="str">
        <f>INDEX(products!B:B, MATCH(D34, products!A:A, 0))</f>
        <v>Carrot</v>
      </c>
      <c r="H34" s="4">
        <f>VLOOKUP(D34,products!A:C,3,FALSE)</f>
        <v>41</v>
      </c>
      <c r="I34" s="4">
        <f>orders[[#This Row],[qty]]*orders[[#This Row],[Price]]</f>
        <v>164</v>
      </c>
    </row>
    <row r="35" spans="1:9" x14ac:dyDescent="0.25">
      <c r="A35" s="2">
        <v>1297</v>
      </c>
      <c r="B35" s="1">
        <v>44964</v>
      </c>
      <c r="C35" s="2">
        <v>35</v>
      </c>
      <c r="D35" s="3">
        <v>628</v>
      </c>
      <c r="E35">
        <v>9</v>
      </c>
      <c r="F35" t="str">
        <f>VLOOKUP(C35,customers!A:B,2,FALSE)</f>
        <v>MiKe</v>
      </c>
      <c r="G35" t="str">
        <f>INDEX(products!B:B, MATCH(D35, products!A:A, 0))</f>
        <v>Fish</v>
      </c>
      <c r="H35" s="4">
        <f>VLOOKUP(D35,products!A:C,3,FALSE)</f>
        <v>206</v>
      </c>
      <c r="I35" s="4">
        <f>orders[[#This Row],[qty]]*orders[[#This Row],[Price]]</f>
        <v>1854</v>
      </c>
    </row>
    <row r="36" spans="1:9" x14ac:dyDescent="0.25">
      <c r="A36" s="2">
        <v>1297</v>
      </c>
      <c r="B36" s="1">
        <v>44964</v>
      </c>
      <c r="C36" s="2">
        <v>35</v>
      </c>
      <c r="D36" s="3">
        <v>628</v>
      </c>
      <c r="E36">
        <v>3</v>
      </c>
      <c r="F36" t="str">
        <f>VLOOKUP(C36,customers!A:B,2,FALSE)</f>
        <v>MiKe</v>
      </c>
      <c r="G36" t="str">
        <f>INDEX(products!B:B, MATCH(D36, products!A:A, 0))</f>
        <v>Fish</v>
      </c>
      <c r="H36" s="4">
        <f>VLOOKUP(D36,products!A:C,3,FALSE)</f>
        <v>206</v>
      </c>
      <c r="I36" s="4">
        <f>orders[[#This Row],[qty]]*orders[[#This Row],[Price]]</f>
        <v>618</v>
      </c>
    </row>
    <row r="37" spans="1:9" x14ac:dyDescent="0.25">
      <c r="A37" s="2">
        <v>1300</v>
      </c>
      <c r="B37" s="1">
        <v>44964</v>
      </c>
      <c r="C37" s="2">
        <v>35</v>
      </c>
      <c r="D37" s="3">
        <v>797</v>
      </c>
      <c r="E37">
        <v>4</v>
      </c>
      <c r="F37" t="str">
        <f>VLOOKUP(C37,customers!A:B,2,FALSE)</f>
        <v>MiKe</v>
      </c>
      <c r="G37" t="str">
        <f>INDEX(products!B:B, MATCH(D37, products!A:A, 0))</f>
        <v xml:space="preserve">   Cheese</v>
      </c>
      <c r="H37" s="4">
        <f>VLOOKUP(D37,products!A:C,3,FALSE)</f>
        <v>402</v>
      </c>
      <c r="I37" s="4">
        <f>orders[[#This Row],[qty]]*orders[[#This Row],[Price]]</f>
        <v>1608</v>
      </c>
    </row>
    <row r="38" spans="1:9" x14ac:dyDescent="0.25">
      <c r="A38" s="2">
        <v>1302</v>
      </c>
      <c r="B38" s="1">
        <v>44964</v>
      </c>
      <c r="C38" s="2">
        <v>34</v>
      </c>
      <c r="D38" s="3">
        <v>328</v>
      </c>
      <c r="E38">
        <v>3</v>
      </c>
      <c r="F38" t="str">
        <f>VLOOKUP(C38,customers!A:B,2,FALSE)</f>
        <v>JaY</v>
      </c>
      <c r="G38" t="str">
        <f>INDEX(products!B:B, MATCH(D38, products!A:A, 0))</f>
        <v>Pasta</v>
      </c>
      <c r="H38" s="4">
        <f>VLOOKUP(D38,products!A:C,3,FALSE)</f>
        <v>131</v>
      </c>
      <c r="I38" s="4">
        <f>orders[[#This Row],[qty]]*orders[[#This Row],[Price]]</f>
        <v>393</v>
      </c>
    </row>
    <row r="39" spans="1:9" x14ac:dyDescent="0.25">
      <c r="A39" s="2">
        <v>1309</v>
      </c>
      <c r="B39" s="1">
        <v>44965</v>
      </c>
      <c r="C39" s="2">
        <v>34</v>
      </c>
      <c r="D39" s="3">
        <v>163</v>
      </c>
      <c r="F39" t="str">
        <f>VLOOKUP(C39,customers!A:B,2,FALSE)</f>
        <v>JaY</v>
      </c>
      <c r="G39" t="str">
        <f>INDEX(products!B:B, MATCH(D39, products!A:A, 0))</f>
        <v>Grape Juice</v>
      </c>
      <c r="H39" s="4">
        <f>VLOOKUP(D39,products!A:C,3,FALSE)</f>
        <v>152</v>
      </c>
      <c r="I39" s="4">
        <f>orders[[#This Row],[qty]]*orders[[#This Row],[Price]]</f>
        <v>0</v>
      </c>
    </row>
    <row r="40" spans="1:9" x14ac:dyDescent="0.25">
      <c r="A40" s="2">
        <v>1310</v>
      </c>
      <c r="B40" s="1">
        <v>44965</v>
      </c>
      <c r="C40" s="2">
        <v>79</v>
      </c>
      <c r="D40" s="3">
        <v>484</v>
      </c>
      <c r="E40">
        <v>3</v>
      </c>
      <c r="F40" t="str">
        <f>VLOOKUP(C40,customers!A:B,2,FALSE)</f>
        <v>TiM</v>
      </c>
      <c r="G40" t="str">
        <f>INDEX(products!B:B, MATCH(D40, products!A:A, 0))</f>
        <v xml:space="preserve">          Hamburger</v>
      </c>
      <c r="H40" s="4">
        <f>VLOOKUP(D40,products!A:C,3,FALSE)</f>
        <v>250</v>
      </c>
      <c r="I40" s="4">
        <f>orders[[#This Row],[qty]]*orders[[#This Row],[Price]]</f>
        <v>750</v>
      </c>
    </row>
    <row r="41" spans="1:9" x14ac:dyDescent="0.25">
      <c r="A41" s="2">
        <v>1318</v>
      </c>
      <c r="B41" s="1">
        <v>44965</v>
      </c>
      <c r="C41" s="2">
        <v>29</v>
      </c>
      <c r="D41" s="3">
        <v>794</v>
      </c>
      <c r="E41">
        <v>3</v>
      </c>
      <c r="F41" t="str">
        <f>VLOOKUP(C41,customers!A:B,2,FALSE)</f>
        <v>johN</v>
      </c>
      <c r="G41" t="str">
        <f>INDEX(products!B:B, MATCH(D41, products!A:A, 0))</f>
        <v>Grilled Cheese</v>
      </c>
      <c r="H41" s="4">
        <f>VLOOKUP(D41,products!A:C,3,FALSE)</f>
        <v>440</v>
      </c>
      <c r="I41" s="4">
        <f>orders[[#This Row],[qty]]*orders[[#This Row],[Price]]</f>
        <v>1320</v>
      </c>
    </row>
    <row r="42" spans="1:9" x14ac:dyDescent="0.25">
      <c r="A42" s="2">
        <v>1319</v>
      </c>
      <c r="B42" s="1">
        <v>44965</v>
      </c>
      <c r="C42" s="2">
        <v>14</v>
      </c>
      <c r="D42" s="3">
        <v>521</v>
      </c>
      <c r="E42">
        <v>6</v>
      </c>
      <c r="F42" t="str">
        <f>VLOOKUP(C42,customers!A:B,2,FALSE)</f>
        <v>RavI</v>
      </c>
      <c r="G42" t="str">
        <f>INDEX(products!B:B, MATCH(D42, products!A:A, 0))</f>
        <v>Carrot</v>
      </c>
      <c r="H42" s="4">
        <f>VLOOKUP(D42,products!A:C,3,FALSE)</f>
        <v>41</v>
      </c>
      <c r="I42" s="4">
        <f>orders[[#This Row],[qty]]*orders[[#This Row],[Price]]</f>
        <v>246</v>
      </c>
    </row>
    <row r="43" spans="1:9" x14ac:dyDescent="0.25">
      <c r="A43" s="2">
        <v>1321</v>
      </c>
      <c r="B43" s="1">
        <v>44965</v>
      </c>
      <c r="C43" s="2">
        <v>21</v>
      </c>
      <c r="D43" s="3">
        <v>594</v>
      </c>
      <c r="E43">
        <v>7</v>
      </c>
      <c r="F43" t="str">
        <f>VLOOKUP(C43,customers!A:B,2,FALSE)</f>
        <v>Lisa</v>
      </c>
      <c r="G43" t="str">
        <f>INDEX(products!B:B, MATCH(D43, products!A:A, 0))</f>
        <v>Chicken</v>
      </c>
      <c r="H43" s="4">
        <f>VLOOKUP(D43,products!A:C,3,FALSE)</f>
        <v>335</v>
      </c>
      <c r="I43" s="4">
        <f>orders[[#This Row],[qty]]*orders[[#This Row],[Price]]</f>
        <v>2345</v>
      </c>
    </row>
    <row r="44" spans="1:9" x14ac:dyDescent="0.25">
      <c r="A44" s="2">
        <v>1323</v>
      </c>
      <c r="B44" s="1">
        <v>44966</v>
      </c>
      <c r="C44" s="2">
        <v>79</v>
      </c>
      <c r="D44" s="3">
        <v>646</v>
      </c>
      <c r="E44">
        <v>9</v>
      </c>
      <c r="F44" t="str">
        <f>VLOOKUP(C44,customers!A:B,2,FALSE)</f>
        <v>TiM</v>
      </c>
      <c r="G44" t="str">
        <f>INDEX(products!B:B, MATCH(D44, products!A:A, 0))</f>
        <v xml:space="preserve">  Apple</v>
      </c>
      <c r="H44" s="4">
        <f>VLOOKUP(D44,products!A:C,3,FALSE)</f>
        <v>52</v>
      </c>
      <c r="I44" s="4">
        <f>orders[[#This Row],[qty]]*orders[[#This Row],[Price]]</f>
        <v>468</v>
      </c>
    </row>
    <row r="45" spans="1:9" x14ac:dyDescent="0.25">
      <c r="A45" s="2">
        <v>1324</v>
      </c>
      <c r="B45" s="1">
        <v>44966</v>
      </c>
      <c r="C45" s="2">
        <v>19</v>
      </c>
      <c r="D45" s="3">
        <v>594</v>
      </c>
      <c r="E45">
        <v>8</v>
      </c>
      <c r="F45" t="str">
        <f>VLOOKUP(C45,customers!A:B,2,FALSE)</f>
        <v>ahmeD</v>
      </c>
      <c r="G45" t="str">
        <f>INDEX(products!B:B, MATCH(D45, products!A:A, 0))</f>
        <v>Chicken</v>
      </c>
      <c r="H45" s="4">
        <f>VLOOKUP(D45,products!A:C,3,FALSE)</f>
        <v>335</v>
      </c>
      <c r="I45" s="4">
        <f>orders[[#This Row],[qty]]*orders[[#This Row],[Price]]</f>
        <v>2680</v>
      </c>
    </row>
    <row r="46" spans="1:9" x14ac:dyDescent="0.25">
      <c r="A46" s="2">
        <v>1327</v>
      </c>
      <c r="B46" s="1">
        <v>44966</v>
      </c>
      <c r="C46" s="2">
        <v>50</v>
      </c>
      <c r="D46" s="3">
        <v>392</v>
      </c>
      <c r="E46">
        <v>9</v>
      </c>
      <c r="F46" t="str">
        <f>VLOOKUP(C46,customers!A:B,2,FALSE)</f>
        <v>BRuce</v>
      </c>
      <c r="G46" t="str">
        <f>INDEX(products!B:B, MATCH(D46, products!A:A, 0))</f>
        <v>Yogurt</v>
      </c>
      <c r="H46" s="4">
        <f>VLOOKUP(D46,products!A:C,3,FALSE)</f>
        <v>118</v>
      </c>
      <c r="I46" s="4">
        <f>orders[[#This Row],[qty]]*orders[[#This Row],[Price]]</f>
        <v>1062</v>
      </c>
    </row>
    <row r="47" spans="1:9" x14ac:dyDescent="0.25">
      <c r="A47" s="2">
        <v>1330</v>
      </c>
      <c r="B47" s="1">
        <v>44966</v>
      </c>
      <c r="C47" s="2">
        <v>29</v>
      </c>
      <c r="D47" s="3">
        <v>804</v>
      </c>
      <c r="E47">
        <v>10</v>
      </c>
      <c r="F47" t="str">
        <f>VLOOKUP(C47,customers!A:B,2,FALSE)</f>
        <v>johN</v>
      </c>
      <c r="G47" t="str">
        <f>INDEX(products!B:B, MATCH(D47, products!A:A, 0))</f>
        <v>Broccoli</v>
      </c>
      <c r="H47" s="4">
        <f>VLOOKUP(D47,products!A:C,3,FALSE)</f>
        <v>34</v>
      </c>
      <c r="I47" s="4">
        <f>orders[[#This Row],[qty]]*orders[[#This Row],[Price]]</f>
        <v>340</v>
      </c>
    </row>
    <row r="48" spans="1:9" x14ac:dyDescent="0.25">
      <c r="A48" s="2">
        <v>1335</v>
      </c>
      <c r="B48" s="1">
        <v>44966</v>
      </c>
      <c r="C48" s="2">
        <v>34</v>
      </c>
      <c r="D48" s="3">
        <v>811</v>
      </c>
      <c r="E48">
        <v>6</v>
      </c>
      <c r="F48" t="str">
        <f>VLOOKUP(C48,customers!A:B,2,FALSE)</f>
        <v>JaY</v>
      </c>
      <c r="G48" t="str">
        <f>INDEX(products!B:B, MATCH(D48, products!A:A, 0))</f>
        <v>Celery</v>
      </c>
      <c r="H48" s="4">
        <f>VLOOKUP(D48,products!A:C,3,FALSE)</f>
        <v>16</v>
      </c>
      <c r="I48" s="4">
        <f>orders[[#This Row],[qty]]*orders[[#This Row],[Price]]</f>
        <v>96</v>
      </c>
    </row>
    <row r="49" spans="1:9" x14ac:dyDescent="0.25">
      <c r="A49" s="2">
        <v>1338</v>
      </c>
      <c r="B49" s="1">
        <v>44967</v>
      </c>
      <c r="C49" s="2">
        <v>14</v>
      </c>
      <c r="D49" s="3">
        <v>521</v>
      </c>
      <c r="E49">
        <v>5</v>
      </c>
      <c r="F49" t="str">
        <f>VLOOKUP(C49,customers!A:B,2,FALSE)</f>
        <v>RavI</v>
      </c>
      <c r="G49" t="str">
        <f>INDEX(products!B:B, MATCH(D49, products!A:A, 0))</f>
        <v>Carrot</v>
      </c>
      <c r="H49" s="4">
        <f>VLOOKUP(D49,products!A:C,3,FALSE)</f>
        <v>41</v>
      </c>
      <c r="I49" s="4">
        <f>orders[[#This Row],[qty]]*orders[[#This Row],[Price]]</f>
        <v>205</v>
      </c>
    </row>
    <row r="50" spans="1:9" x14ac:dyDescent="0.25">
      <c r="A50" s="2">
        <v>1339</v>
      </c>
      <c r="B50" s="1">
        <v>44967</v>
      </c>
      <c r="C50" s="2">
        <v>35</v>
      </c>
      <c r="D50" s="3">
        <v>886</v>
      </c>
      <c r="F50" t="str">
        <f>VLOOKUP(C50,customers!A:B,2,FALSE)</f>
        <v>MiKe</v>
      </c>
      <c r="G50" t="str">
        <f>INDEX(products!B:B, MATCH(D50, products!A:A, 0))</f>
        <v>Avocado</v>
      </c>
      <c r="H50" s="4">
        <f>VLOOKUP(D50,products!A:C,3,FALSE)</f>
        <v>322</v>
      </c>
      <c r="I50" s="4">
        <f>orders[[#This Row],[qty]]*orders[[#This Row],[Price]]</f>
        <v>0</v>
      </c>
    </row>
    <row r="51" spans="1:9" x14ac:dyDescent="0.25">
      <c r="A51" s="2">
        <v>1341</v>
      </c>
      <c r="B51" s="1">
        <v>44967</v>
      </c>
      <c r="C51" s="2">
        <v>29</v>
      </c>
      <c r="D51" s="3">
        <v>600</v>
      </c>
      <c r="E51">
        <v>6</v>
      </c>
      <c r="F51" t="str">
        <f>VLOOKUP(C51,customers!A:B,2,FALSE)</f>
        <v>johN</v>
      </c>
      <c r="G51" t="str">
        <f>INDEX(products!B:B, MATCH(D51, products!A:A, 0))</f>
        <v xml:space="preserve">      Grapefruit</v>
      </c>
      <c r="H51" s="4">
        <f>VLOOKUP(D51,products!A:C,3,FALSE)</f>
        <v>42</v>
      </c>
      <c r="I51" s="4">
        <f>orders[[#This Row],[qty]]*orders[[#This Row],[Price]]</f>
        <v>252</v>
      </c>
    </row>
    <row r="52" spans="1:9" x14ac:dyDescent="0.25">
      <c r="A52" s="2">
        <v>1342</v>
      </c>
      <c r="B52" s="1">
        <v>44967</v>
      </c>
      <c r="C52" s="2">
        <v>11</v>
      </c>
      <c r="D52" s="3">
        <v>651</v>
      </c>
      <c r="E52">
        <v>6</v>
      </c>
      <c r="F52" t="str">
        <f>VLOOKUP(C52,customers!A:B,2,FALSE)</f>
        <v>AnthoNY</v>
      </c>
      <c r="G52" t="str">
        <f>INDEX(products!B:B, MATCH(D52, products!A:A, 0))</f>
        <v>Banana</v>
      </c>
      <c r="H52" s="4">
        <f>VLOOKUP(D52,products!A:C,3,FALSE)</f>
        <v>89</v>
      </c>
      <c r="I52" s="4">
        <f>orders[[#This Row],[qty]]*orders[[#This Row],[Price]]</f>
        <v>534</v>
      </c>
    </row>
    <row r="53" spans="1:9" x14ac:dyDescent="0.25">
      <c r="A53" s="2">
        <v>1346</v>
      </c>
      <c r="B53" s="1">
        <v>44967</v>
      </c>
      <c r="C53" s="2">
        <v>21</v>
      </c>
      <c r="D53" s="3">
        <v>328</v>
      </c>
      <c r="E53">
        <v>2</v>
      </c>
      <c r="F53" t="str">
        <f>VLOOKUP(C53,customers!A:B,2,FALSE)</f>
        <v>Lisa</v>
      </c>
      <c r="G53" t="str">
        <f>INDEX(products!B:B, MATCH(D53, products!A:A, 0))</f>
        <v>Pasta</v>
      </c>
      <c r="H53" s="4">
        <f>VLOOKUP(D53,products!A:C,3,FALSE)</f>
        <v>131</v>
      </c>
      <c r="I53" s="4">
        <f>orders[[#This Row],[qty]]*orders[[#This Row],[Price]]</f>
        <v>262</v>
      </c>
    </row>
    <row r="54" spans="1:9" x14ac:dyDescent="0.25">
      <c r="A54" s="2">
        <v>1347</v>
      </c>
      <c r="B54" s="1">
        <v>44968</v>
      </c>
      <c r="C54" s="2">
        <v>79</v>
      </c>
      <c r="D54" s="3">
        <v>862</v>
      </c>
      <c r="E54">
        <v>9</v>
      </c>
      <c r="F54" t="str">
        <f>VLOOKUP(C54,customers!A:B,2,FALSE)</f>
        <v>TiM</v>
      </c>
      <c r="G54" t="str">
        <f>INDEX(products!B:B, MATCH(D54, products!A:A, 0))</f>
        <v>Chocolate Cake</v>
      </c>
      <c r="H54" s="4">
        <f>VLOOKUP(D54,products!A:C,3,FALSE)</f>
        <v>452</v>
      </c>
      <c r="I54" s="4">
        <f>orders[[#This Row],[qty]]*orders[[#This Row],[Price]]</f>
        <v>4068</v>
      </c>
    </row>
    <row r="55" spans="1:9" x14ac:dyDescent="0.25">
      <c r="A55" s="2">
        <v>1350</v>
      </c>
      <c r="B55" s="1">
        <v>44968</v>
      </c>
      <c r="C55" s="2">
        <v>19</v>
      </c>
      <c r="D55" s="3">
        <v>484</v>
      </c>
      <c r="E55">
        <v>9</v>
      </c>
      <c r="F55" t="str">
        <f>VLOOKUP(C55,customers!A:B,2,FALSE)</f>
        <v>ahmeD</v>
      </c>
      <c r="G55" t="str">
        <f>INDEX(products!B:B, MATCH(D55, products!A:A, 0))</f>
        <v xml:space="preserve">          Hamburger</v>
      </c>
      <c r="H55" s="4">
        <f>VLOOKUP(D55,products!A:C,3,FALSE)</f>
        <v>250</v>
      </c>
      <c r="I55" s="4">
        <f>orders[[#This Row],[qty]]*orders[[#This Row],[Price]]</f>
        <v>2250</v>
      </c>
    </row>
    <row r="56" spans="1:9" x14ac:dyDescent="0.25">
      <c r="A56" s="2">
        <v>1352</v>
      </c>
      <c r="B56" s="1">
        <v>44968</v>
      </c>
      <c r="C56" s="2">
        <v>35</v>
      </c>
      <c r="D56" s="3">
        <v>704</v>
      </c>
      <c r="E56">
        <v>4</v>
      </c>
      <c r="F56" t="str">
        <f>VLOOKUP(C56,customers!A:B,2,FALSE)</f>
        <v>MiKe</v>
      </c>
      <c r="G56" t="str">
        <f>INDEX(products!B:B, MATCH(D56, products!A:A, 0))</f>
        <v>Eggs</v>
      </c>
      <c r="H56" s="4">
        <f>VLOOKUP(D56,products!A:C,3,FALSE)</f>
        <v>155</v>
      </c>
      <c r="I56" s="4">
        <f>orders[[#This Row],[qty]]*orders[[#This Row],[Price]]</f>
        <v>620</v>
      </c>
    </row>
    <row r="57" spans="1:9" x14ac:dyDescent="0.25">
      <c r="A57" s="2">
        <v>1352</v>
      </c>
      <c r="B57" s="1">
        <v>44968</v>
      </c>
      <c r="C57" s="2">
        <v>35</v>
      </c>
      <c r="D57" s="3">
        <v>704</v>
      </c>
      <c r="E57">
        <v>2</v>
      </c>
      <c r="F57" t="str">
        <f>VLOOKUP(C57,customers!A:B,2,FALSE)</f>
        <v>MiKe</v>
      </c>
      <c r="G57" t="str">
        <f>INDEX(products!B:B, MATCH(D57, products!A:A, 0))</f>
        <v>Eggs</v>
      </c>
      <c r="H57" s="4">
        <f>VLOOKUP(D57,products!A:C,3,FALSE)</f>
        <v>155</v>
      </c>
      <c r="I57" s="4">
        <f>orders[[#This Row],[qty]]*orders[[#This Row],[Price]]</f>
        <v>310</v>
      </c>
    </row>
    <row r="58" spans="1:9" x14ac:dyDescent="0.25">
      <c r="A58" s="2">
        <v>1353</v>
      </c>
      <c r="B58" s="1">
        <v>44968</v>
      </c>
      <c r="C58" s="2">
        <v>34</v>
      </c>
      <c r="D58" s="3">
        <v>739</v>
      </c>
      <c r="E58">
        <v>3</v>
      </c>
      <c r="F58" t="str">
        <f>VLOOKUP(C58,customers!A:B,2,FALSE)</f>
        <v>JaY</v>
      </c>
      <c r="G58" t="str">
        <f>INDEX(products!B:B, MATCH(D58, products!A:A, 0))</f>
        <v xml:space="preserve"> Donut</v>
      </c>
      <c r="H58" s="4">
        <f>VLOOKUP(D58,products!A:C,3,FALSE)</f>
        <v>452</v>
      </c>
      <c r="I58" s="4">
        <f>orders[[#This Row],[qty]]*orders[[#This Row],[Price]]</f>
        <v>1356</v>
      </c>
    </row>
    <row r="59" spans="1:9" x14ac:dyDescent="0.25">
      <c r="A59" s="2">
        <v>1358</v>
      </c>
      <c r="B59" s="1">
        <v>44968</v>
      </c>
      <c r="C59" s="2">
        <v>50</v>
      </c>
      <c r="D59" s="3">
        <v>594</v>
      </c>
      <c r="E59">
        <v>9</v>
      </c>
      <c r="F59" t="str">
        <f>VLOOKUP(C59,customers!A:B,2,FALSE)</f>
        <v>BRuce</v>
      </c>
      <c r="G59" t="str">
        <f>INDEX(products!B:B, MATCH(D59, products!A:A, 0))</f>
        <v>Chicken</v>
      </c>
      <c r="H59" s="4">
        <f>VLOOKUP(D59,products!A:C,3,FALSE)</f>
        <v>335</v>
      </c>
      <c r="I59" s="4">
        <f>orders[[#This Row],[qty]]*orders[[#This Row],[Price]]</f>
        <v>3015</v>
      </c>
    </row>
    <row r="60" spans="1:9" x14ac:dyDescent="0.25">
      <c r="A60" s="2">
        <v>1359</v>
      </c>
      <c r="B60" s="1">
        <v>44969</v>
      </c>
      <c r="C60" s="2">
        <v>35</v>
      </c>
      <c r="D60" s="3">
        <v>392</v>
      </c>
      <c r="E60">
        <v>3</v>
      </c>
      <c r="F60" t="str">
        <f>VLOOKUP(C60,customers!A:B,2,FALSE)</f>
        <v>MiKe</v>
      </c>
      <c r="G60" t="str">
        <f>INDEX(products!B:B, MATCH(D60, products!A:A, 0))</f>
        <v>Yogurt</v>
      </c>
      <c r="H60" s="4">
        <f>VLOOKUP(D60,products!A:C,3,FALSE)</f>
        <v>118</v>
      </c>
      <c r="I60" s="4">
        <f>orders[[#This Row],[qty]]*orders[[#This Row],[Price]]</f>
        <v>354</v>
      </c>
    </row>
    <row r="61" spans="1:9" x14ac:dyDescent="0.25">
      <c r="A61" s="2">
        <v>1361</v>
      </c>
      <c r="B61" s="1">
        <v>44969</v>
      </c>
      <c r="C61" s="2">
        <v>35</v>
      </c>
      <c r="D61" s="3">
        <v>794</v>
      </c>
      <c r="E61">
        <v>7</v>
      </c>
      <c r="F61" t="str">
        <f>VLOOKUP(C61,customers!A:B,2,FALSE)</f>
        <v>MiKe</v>
      </c>
      <c r="G61" t="str">
        <f>INDEX(products!B:B, MATCH(D61, products!A:A, 0))</f>
        <v>Grilled Cheese</v>
      </c>
      <c r="H61" s="4">
        <f>VLOOKUP(D61,products!A:C,3,FALSE)</f>
        <v>440</v>
      </c>
      <c r="I61" s="4">
        <f>orders[[#This Row],[qty]]*orders[[#This Row],[Price]]</f>
        <v>3080</v>
      </c>
    </row>
    <row r="62" spans="1:9" x14ac:dyDescent="0.25">
      <c r="A62" s="2">
        <v>1364</v>
      </c>
      <c r="B62" s="1">
        <v>44969</v>
      </c>
      <c r="C62" s="2">
        <v>21</v>
      </c>
      <c r="D62" s="3">
        <v>739</v>
      </c>
      <c r="E62">
        <v>7</v>
      </c>
      <c r="F62" t="str">
        <f>VLOOKUP(C62,customers!A:B,2,FALSE)</f>
        <v>Lisa</v>
      </c>
      <c r="G62" t="str">
        <f>INDEX(products!B:B, MATCH(D62, products!A:A, 0))</f>
        <v xml:space="preserve"> Donut</v>
      </c>
      <c r="H62" s="4">
        <f>VLOOKUP(D62,products!A:C,3,FALSE)</f>
        <v>452</v>
      </c>
      <c r="I62" s="4">
        <f>orders[[#This Row],[qty]]*orders[[#This Row],[Price]]</f>
        <v>3164</v>
      </c>
    </row>
    <row r="63" spans="1:9" x14ac:dyDescent="0.25">
      <c r="A63" s="2">
        <v>1370</v>
      </c>
      <c r="B63" s="1">
        <v>44969</v>
      </c>
      <c r="C63" s="2">
        <v>50</v>
      </c>
      <c r="D63" s="3">
        <v>594</v>
      </c>
      <c r="E63">
        <v>10</v>
      </c>
      <c r="F63" t="str">
        <f>VLOOKUP(C63,customers!A:B,2,FALSE)</f>
        <v>BRuce</v>
      </c>
      <c r="G63" t="str">
        <f>INDEX(products!B:B, MATCH(D63, products!A:A, 0))</f>
        <v>Chicken</v>
      </c>
      <c r="H63" s="4">
        <f>VLOOKUP(D63,products!A:C,3,FALSE)</f>
        <v>335</v>
      </c>
      <c r="I63" s="4">
        <f>orders[[#This Row],[qty]]*orders[[#This Row],[Price]]</f>
        <v>3350</v>
      </c>
    </row>
    <row r="64" spans="1:9" x14ac:dyDescent="0.25">
      <c r="A64" s="2">
        <v>1374</v>
      </c>
      <c r="B64" s="1">
        <v>44969</v>
      </c>
      <c r="C64" s="2">
        <v>19</v>
      </c>
      <c r="D64" s="3">
        <v>811</v>
      </c>
      <c r="E64">
        <v>8</v>
      </c>
      <c r="F64" t="str">
        <f>VLOOKUP(C64,customers!A:B,2,FALSE)</f>
        <v>ahmeD</v>
      </c>
      <c r="G64" t="str">
        <f>INDEX(products!B:B, MATCH(D64, products!A:A, 0))</f>
        <v>Celery</v>
      </c>
      <c r="H64" s="4">
        <f>VLOOKUP(D64,products!A:C,3,FALSE)</f>
        <v>16</v>
      </c>
      <c r="I64" s="4">
        <f>orders[[#This Row],[qty]]*orders[[#This Row],[Price]]</f>
        <v>128</v>
      </c>
    </row>
    <row r="65" spans="1:9" x14ac:dyDescent="0.25">
      <c r="A65" s="2">
        <v>1379</v>
      </c>
      <c r="B65" s="1">
        <v>44970</v>
      </c>
      <c r="C65" s="2">
        <v>14</v>
      </c>
      <c r="D65" s="3">
        <v>794</v>
      </c>
      <c r="E65">
        <v>10</v>
      </c>
      <c r="F65" t="str">
        <f>VLOOKUP(C65,customers!A:B,2,FALSE)</f>
        <v>RavI</v>
      </c>
      <c r="G65" t="str">
        <f>INDEX(products!B:B, MATCH(D65, products!A:A, 0))</f>
        <v>Grilled Cheese</v>
      </c>
      <c r="H65" s="4">
        <f>VLOOKUP(D65,products!A:C,3,FALSE)</f>
        <v>440</v>
      </c>
      <c r="I65" s="4">
        <f>orders[[#This Row],[qty]]*orders[[#This Row],[Price]]</f>
        <v>4400</v>
      </c>
    </row>
    <row r="66" spans="1:9" x14ac:dyDescent="0.25">
      <c r="A66" s="2">
        <v>1382</v>
      </c>
      <c r="B66" s="1">
        <v>44970</v>
      </c>
      <c r="C66" s="2">
        <v>35</v>
      </c>
      <c r="D66" s="3">
        <v>862</v>
      </c>
      <c r="E66">
        <v>10</v>
      </c>
      <c r="F66" t="str">
        <f>VLOOKUP(C66,customers!A:B,2,FALSE)</f>
        <v>MiKe</v>
      </c>
      <c r="G66" t="str">
        <f>INDEX(products!B:B, MATCH(D66, products!A:A, 0))</f>
        <v>Chocolate Cake</v>
      </c>
      <c r="H66" s="4">
        <f>VLOOKUP(D66,products!A:C,3,FALSE)</f>
        <v>452</v>
      </c>
      <c r="I66" s="4">
        <f>orders[[#This Row],[qty]]*orders[[#This Row],[Price]]</f>
        <v>4520</v>
      </c>
    </row>
    <row r="67" spans="1:9" x14ac:dyDescent="0.25">
      <c r="A67" s="2">
        <v>1388</v>
      </c>
      <c r="B67" s="1">
        <v>44970</v>
      </c>
      <c r="C67" s="2">
        <v>11</v>
      </c>
      <c r="D67" s="3">
        <v>804</v>
      </c>
      <c r="E67">
        <v>3</v>
      </c>
      <c r="F67" t="str">
        <f>VLOOKUP(C67,customers!A:B,2,FALSE)</f>
        <v>AnthoNY</v>
      </c>
      <c r="G67" t="str">
        <f>INDEX(products!B:B, MATCH(D67, products!A:A, 0))</f>
        <v>Broccoli</v>
      </c>
      <c r="H67" s="4">
        <f>VLOOKUP(D67,products!A:C,3,FALSE)</f>
        <v>34</v>
      </c>
      <c r="I67" s="4">
        <f>orders[[#This Row],[qty]]*orders[[#This Row],[Price]]</f>
        <v>102</v>
      </c>
    </row>
    <row r="68" spans="1:9" x14ac:dyDescent="0.25">
      <c r="A68" s="2">
        <v>1395</v>
      </c>
      <c r="B68" s="1">
        <v>44970</v>
      </c>
      <c r="C68" s="2">
        <v>19</v>
      </c>
      <c r="D68" s="3">
        <v>590</v>
      </c>
      <c r="F68" t="str">
        <f>VLOOKUP(C68,customers!A:B,2,FALSE)</f>
        <v>ahmeD</v>
      </c>
      <c r="G68" t="str">
        <f>INDEX(products!B:B, MATCH(D68, products!A:A, 0))</f>
        <v>French Fries</v>
      </c>
      <c r="H68" s="4">
        <f>VLOOKUP(D68,products!A:C,3,FALSE)</f>
        <v>365</v>
      </c>
      <c r="I68" s="4">
        <f>orders[[#This Row],[qty]]*orders[[#This Row],[Price]]</f>
        <v>0</v>
      </c>
    </row>
    <row r="69" spans="1:9" x14ac:dyDescent="0.25">
      <c r="A69" s="2">
        <v>1396</v>
      </c>
      <c r="B69" s="1">
        <v>44970</v>
      </c>
      <c r="C69" s="2">
        <v>34</v>
      </c>
      <c r="D69" s="3">
        <v>628</v>
      </c>
      <c r="E69">
        <v>9</v>
      </c>
      <c r="F69" t="str">
        <f>VLOOKUP(C69,customers!A:B,2,FALSE)</f>
        <v>JaY</v>
      </c>
      <c r="G69" t="str">
        <f>INDEX(products!B:B, MATCH(D69, products!A:A, 0))</f>
        <v>Fish</v>
      </c>
      <c r="H69" s="4">
        <f>VLOOKUP(D69,products!A:C,3,FALSE)</f>
        <v>206</v>
      </c>
      <c r="I69" s="4">
        <f>orders[[#This Row],[qty]]*orders[[#This Row],[Price]]</f>
        <v>1854</v>
      </c>
    </row>
    <row r="70" spans="1:9" x14ac:dyDescent="0.25">
      <c r="A70" s="2">
        <v>1397</v>
      </c>
      <c r="B70" s="1">
        <v>44971</v>
      </c>
      <c r="C70" s="2">
        <v>79</v>
      </c>
      <c r="D70" s="3">
        <v>797</v>
      </c>
      <c r="E70">
        <v>6</v>
      </c>
      <c r="F70" t="str">
        <f>VLOOKUP(C70,customers!A:B,2,FALSE)</f>
        <v>TiM</v>
      </c>
      <c r="G70" t="str">
        <f>INDEX(products!B:B, MATCH(D70, products!A:A, 0))</f>
        <v xml:space="preserve">   Cheese</v>
      </c>
      <c r="H70" s="4">
        <f>VLOOKUP(D70,products!A:C,3,FALSE)</f>
        <v>402</v>
      </c>
      <c r="I70" s="4">
        <f>orders[[#This Row],[qty]]*orders[[#This Row],[Price]]</f>
        <v>2412</v>
      </c>
    </row>
    <row r="71" spans="1:9" x14ac:dyDescent="0.25">
      <c r="A71" s="2">
        <v>1406</v>
      </c>
      <c r="B71" s="1">
        <v>44971</v>
      </c>
      <c r="C71" s="2">
        <v>19</v>
      </c>
      <c r="D71" s="3">
        <v>294</v>
      </c>
      <c r="E71">
        <v>3</v>
      </c>
      <c r="F71" t="str">
        <f>VLOOKUP(C71,customers!A:B,2,FALSE)</f>
        <v>ahmeD</v>
      </c>
      <c r="G71" t="str">
        <f>INDEX(products!B:B, MATCH(D71, products!A:A, 0))</f>
        <v>Rice</v>
      </c>
      <c r="H71" s="4">
        <f>VLOOKUP(D71,products!A:C,3,FALSE)</f>
        <v>130</v>
      </c>
      <c r="I71" s="4">
        <f>orders[[#This Row],[qty]]*orders[[#This Row],[Price]]</f>
        <v>390</v>
      </c>
    </row>
    <row r="72" spans="1:9" x14ac:dyDescent="0.25">
      <c r="A72" s="2">
        <v>1420</v>
      </c>
      <c r="B72" s="1">
        <v>44971</v>
      </c>
      <c r="C72" s="2">
        <v>21</v>
      </c>
      <c r="D72" s="3">
        <v>590</v>
      </c>
      <c r="E72">
        <v>7</v>
      </c>
      <c r="F72" t="str">
        <f>VLOOKUP(C72,customers!A:B,2,FALSE)</f>
        <v>Lisa</v>
      </c>
      <c r="G72" t="str">
        <f>INDEX(products!B:B, MATCH(D72, products!A:A, 0))</f>
        <v>French Fries</v>
      </c>
      <c r="H72" s="4">
        <f>VLOOKUP(D72,products!A:C,3,FALSE)</f>
        <v>365</v>
      </c>
      <c r="I72" s="4">
        <f>orders[[#This Row],[qty]]*orders[[#This Row],[Price]]</f>
        <v>2555</v>
      </c>
    </row>
    <row r="73" spans="1:9" x14ac:dyDescent="0.25">
      <c r="A73" s="2">
        <v>1436</v>
      </c>
      <c r="B73" s="1">
        <v>44971</v>
      </c>
      <c r="C73" s="2">
        <v>35</v>
      </c>
      <c r="D73" s="3">
        <v>392</v>
      </c>
      <c r="E73">
        <v>3</v>
      </c>
      <c r="F73" t="str">
        <f>VLOOKUP(C73,customers!A:B,2,FALSE)</f>
        <v>MiKe</v>
      </c>
      <c r="G73" t="str">
        <f>INDEX(products!B:B, MATCH(D73, products!A:A, 0))</f>
        <v>Yogurt</v>
      </c>
      <c r="H73" s="4">
        <f>VLOOKUP(D73,products!A:C,3,FALSE)</f>
        <v>118</v>
      </c>
      <c r="I73" s="4">
        <f>orders[[#This Row],[qty]]*orders[[#This Row],[Price]]</f>
        <v>354</v>
      </c>
    </row>
    <row r="74" spans="1:9" x14ac:dyDescent="0.25">
      <c r="A74" s="2">
        <v>1438</v>
      </c>
      <c r="B74" s="1">
        <v>44971</v>
      </c>
      <c r="C74" s="2">
        <v>14</v>
      </c>
      <c r="D74" s="3">
        <v>704</v>
      </c>
      <c r="E74">
        <v>4</v>
      </c>
      <c r="F74" t="str">
        <f>VLOOKUP(C74,customers!A:B,2,FALSE)</f>
        <v>RavI</v>
      </c>
      <c r="G74" t="str">
        <f>INDEX(products!B:B, MATCH(D74, products!A:A, 0))</f>
        <v>Eggs</v>
      </c>
      <c r="H74" s="4">
        <f>VLOOKUP(D74,products!A:C,3,FALSE)</f>
        <v>155</v>
      </c>
      <c r="I74" s="4">
        <f>orders[[#This Row],[qty]]*orders[[#This Row],[Price]]</f>
        <v>620</v>
      </c>
    </row>
    <row r="75" spans="1:9" x14ac:dyDescent="0.25">
      <c r="A75" s="2">
        <v>1445</v>
      </c>
      <c r="B75" s="1">
        <v>44972</v>
      </c>
      <c r="C75" s="2">
        <v>34</v>
      </c>
      <c r="D75" s="3">
        <v>704</v>
      </c>
      <c r="E75">
        <v>4</v>
      </c>
      <c r="F75" t="str">
        <f>VLOOKUP(C75,customers!A:B,2,FALSE)</f>
        <v>JaY</v>
      </c>
      <c r="G75" t="str">
        <f>INDEX(products!B:B, MATCH(D75, products!A:A, 0))</f>
        <v>Eggs</v>
      </c>
      <c r="H75" s="4">
        <f>VLOOKUP(D75,products!A:C,3,FALSE)</f>
        <v>155</v>
      </c>
      <c r="I75" s="4">
        <f>orders[[#This Row],[qty]]*orders[[#This Row],[Price]]</f>
        <v>620</v>
      </c>
    </row>
    <row r="76" spans="1:9" x14ac:dyDescent="0.25">
      <c r="A76" s="2">
        <v>1455</v>
      </c>
      <c r="B76" s="1">
        <v>44972</v>
      </c>
      <c r="C76" s="2">
        <v>29</v>
      </c>
      <c r="D76" s="3">
        <v>294</v>
      </c>
      <c r="E76">
        <v>10</v>
      </c>
      <c r="F76" t="str">
        <f>VLOOKUP(C76,customers!A:B,2,FALSE)</f>
        <v>johN</v>
      </c>
      <c r="G76" t="str">
        <f>INDEX(products!B:B, MATCH(D76, products!A:A, 0))</f>
        <v>Rice</v>
      </c>
      <c r="H76" s="4">
        <f>VLOOKUP(D76,products!A:C,3,FALSE)</f>
        <v>130</v>
      </c>
      <c r="I76" s="4">
        <f>orders[[#This Row],[qty]]*orders[[#This Row],[Price]]</f>
        <v>1300</v>
      </c>
    </row>
    <row r="77" spans="1:9" x14ac:dyDescent="0.25">
      <c r="A77" s="2">
        <v>1457</v>
      </c>
      <c r="B77" s="1">
        <v>44972</v>
      </c>
      <c r="C77" s="2">
        <v>50</v>
      </c>
      <c r="D77" s="3">
        <v>484</v>
      </c>
      <c r="E77">
        <v>10</v>
      </c>
      <c r="F77" t="str">
        <f>VLOOKUP(C77,customers!A:B,2,FALSE)</f>
        <v>BRuce</v>
      </c>
      <c r="G77" t="str">
        <f>INDEX(products!B:B, MATCH(D77, products!A:A, 0))</f>
        <v xml:space="preserve">          Hamburger</v>
      </c>
      <c r="H77" s="4">
        <f>VLOOKUP(D77,products!A:C,3,FALSE)</f>
        <v>250</v>
      </c>
      <c r="I77" s="4">
        <f>orders[[#This Row],[qty]]*orders[[#This Row],[Price]]</f>
        <v>2500</v>
      </c>
    </row>
    <row r="78" spans="1:9" x14ac:dyDescent="0.25">
      <c r="A78" s="2">
        <v>1457</v>
      </c>
      <c r="B78" s="1">
        <v>44972</v>
      </c>
      <c r="C78" s="2">
        <v>50</v>
      </c>
      <c r="D78" s="3">
        <v>484</v>
      </c>
      <c r="E78">
        <v>2</v>
      </c>
      <c r="F78" t="str">
        <f>VLOOKUP(C78,customers!A:B,2,FALSE)</f>
        <v>BRuce</v>
      </c>
      <c r="G78" t="str">
        <f>INDEX(products!B:B, MATCH(D78, products!A:A, 0))</f>
        <v xml:space="preserve">          Hamburger</v>
      </c>
      <c r="H78" s="4">
        <f>VLOOKUP(D78,products!A:C,3,FALSE)</f>
        <v>250</v>
      </c>
      <c r="I78" s="4">
        <f>orders[[#This Row],[qty]]*orders[[#This Row],[Price]]</f>
        <v>500</v>
      </c>
    </row>
    <row r="79" spans="1:9" x14ac:dyDescent="0.25">
      <c r="A79" s="2">
        <v>1459</v>
      </c>
      <c r="B79" s="1">
        <v>44972</v>
      </c>
      <c r="C79" s="2">
        <v>14</v>
      </c>
      <c r="D79" s="3">
        <v>594</v>
      </c>
      <c r="E79">
        <v>5</v>
      </c>
      <c r="F79" t="str">
        <f>VLOOKUP(C79,customers!A:B,2,FALSE)</f>
        <v>RavI</v>
      </c>
      <c r="G79" t="str">
        <f>INDEX(products!B:B, MATCH(D79, products!A:A, 0))</f>
        <v>Chicken</v>
      </c>
      <c r="H79" s="4">
        <f>VLOOKUP(D79,products!A:C,3,FALSE)</f>
        <v>335</v>
      </c>
      <c r="I79" s="4">
        <f>orders[[#This Row],[qty]]*orders[[#This Row],[Price]]</f>
        <v>1675</v>
      </c>
    </row>
    <row r="80" spans="1:9" x14ac:dyDescent="0.25">
      <c r="A80" s="2">
        <v>1466</v>
      </c>
      <c r="B80" s="1">
        <v>44972</v>
      </c>
      <c r="C80" s="2">
        <v>35</v>
      </c>
      <c r="D80" s="3">
        <v>163</v>
      </c>
      <c r="E80">
        <v>6</v>
      </c>
      <c r="F80" t="str">
        <f>VLOOKUP(C80,customers!A:B,2,FALSE)</f>
        <v>MiKe</v>
      </c>
      <c r="G80" t="str">
        <f>INDEX(products!B:B, MATCH(D80, products!A:A, 0))</f>
        <v>Grape Juice</v>
      </c>
      <c r="H80" s="4">
        <f>VLOOKUP(D80,products!A:C,3,FALSE)</f>
        <v>152</v>
      </c>
      <c r="I80" s="4">
        <f>orders[[#This Row],[qty]]*orders[[#This Row],[Price]]</f>
        <v>912</v>
      </c>
    </row>
    <row r="81" spans="1:9" x14ac:dyDescent="0.25">
      <c r="A81" s="2">
        <v>1471</v>
      </c>
      <c r="B81" s="1">
        <v>44973</v>
      </c>
      <c r="C81" s="2">
        <v>50</v>
      </c>
      <c r="D81" s="3">
        <v>651</v>
      </c>
      <c r="E81">
        <v>8</v>
      </c>
      <c r="F81" t="str">
        <f>VLOOKUP(C81,customers!A:B,2,FALSE)</f>
        <v>BRuce</v>
      </c>
      <c r="G81" t="str">
        <f>INDEX(products!B:B, MATCH(D81, products!A:A, 0))</f>
        <v>Banana</v>
      </c>
      <c r="H81" s="4">
        <f>VLOOKUP(D81,products!A:C,3,FALSE)</f>
        <v>89</v>
      </c>
      <c r="I81" s="4">
        <f>orders[[#This Row],[qty]]*orders[[#This Row],[Price]]</f>
        <v>712</v>
      </c>
    </row>
    <row r="82" spans="1:9" x14ac:dyDescent="0.25">
      <c r="A82" s="2">
        <v>1480</v>
      </c>
      <c r="B82" s="1">
        <v>44973</v>
      </c>
      <c r="C82" s="2">
        <v>19</v>
      </c>
      <c r="D82" s="3">
        <v>704</v>
      </c>
      <c r="E82">
        <v>2</v>
      </c>
      <c r="F82" t="str">
        <f>VLOOKUP(C82,customers!A:B,2,FALSE)</f>
        <v>ahmeD</v>
      </c>
      <c r="G82" t="str">
        <f>INDEX(products!B:B, MATCH(D82, products!A:A, 0))</f>
        <v>Eggs</v>
      </c>
      <c r="H82" s="4">
        <f>VLOOKUP(D82,products!A:C,3,FALSE)</f>
        <v>155</v>
      </c>
      <c r="I82" s="4">
        <f>orders[[#This Row],[qty]]*orders[[#This Row],[Price]]</f>
        <v>310</v>
      </c>
    </row>
    <row r="83" spans="1:9" x14ac:dyDescent="0.25">
      <c r="A83" s="2">
        <v>1484</v>
      </c>
      <c r="B83" s="1">
        <v>44973</v>
      </c>
      <c r="C83" s="2">
        <v>35</v>
      </c>
      <c r="D83" s="3">
        <v>590</v>
      </c>
      <c r="E83">
        <v>8</v>
      </c>
      <c r="F83" t="str">
        <f>VLOOKUP(C83,customers!A:B,2,FALSE)</f>
        <v>MiKe</v>
      </c>
      <c r="G83" t="str">
        <f>INDEX(products!B:B, MATCH(D83, products!A:A, 0))</f>
        <v>French Fries</v>
      </c>
      <c r="H83" s="4">
        <f>VLOOKUP(D83,products!A:C,3,FALSE)</f>
        <v>365</v>
      </c>
      <c r="I83" s="4">
        <f>orders[[#This Row],[qty]]*orders[[#This Row],[Price]]</f>
        <v>2920</v>
      </c>
    </row>
    <row r="84" spans="1:9" x14ac:dyDescent="0.25">
      <c r="A84" s="2">
        <v>1487</v>
      </c>
      <c r="B84" s="1">
        <v>44973</v>
      </c>
      <c r="C84" s="2">
        <v>21</v>
      </c>
      <c r="D84" s="3">
        <v>811</v>
      </c>
      <c r="E84">
        <v>5</v>
      </c>
      <c r="F84" t="str">
        <f>VLOOKUP(C84,customers!A:B,2,FALSE)</f>
        <v>Lisa</v>
      </c>
      <c r="G84" t="str">
        <f>INDEX(products!B:B, MATCH(D84, products!A:A, 0))</f>
        <v>Celery</v>
      </c>
      <c r="H84" s="4">
        <f>VLOOKUP(D84,products!A:C,3,FALSE)</f>
        <v>16</v>
      </c>
      <c r="I84" s="4">
        <f>orders[[#This Row],[qty]]*orders[[#This Row],[Price]]</f>
        <v>80</v>
      </c>
    </row>
    <row r="85" spans="1:9" x14ac:dyDescent="0.25">
      <c r="A85" s="2">
        <v>1489</v>
      </c>
      <c r="B85" s="1">
        <v>44973</v>
      </c>
      <c r="C85" s="2">
        <v>35</v>
      </c>
      <c r="D85" s="3">
        <v>594</v>
      </c>
      <c r="E85">
        <v>8</v>
      </c>
      <c r="F85" t="str">
        <f>VLOOKUP(C85,customers!A:B,2,FALSE)</f>
        <v>MiKe</v>
      </c>
      <c r="G85" t="str">
        <f>INDEX(products!B:B, MATCH(D85, products!A:A, 0))</f>
        <v>Chicken</v>
      </c>
      <c r="H85" s="4">
        <f>VLOOKUP(D85,products!A:C,3,FALSE)</f>
        <v>335</v>
      </c>
      <c r="I85" s="4">
        <f>orders[[#This Row],[qty]]*orders[[#This Row],[Price]]</f>
        <v>2680</v>
      </c>
    </row>
    <row r="86" spans="1:9" x14ac:dyDescent="0.25">
      <c r="A86" s="2">
        <v>1491</v>
      </c>
      <c r="B86" s="1">
        <v>44974</v>
      </c>
      <c r="C86" s="2">
        <v>29</v>
      </c>
      <c r="D86" s="3">
        <v>739</v>
      </c>
      <c r="E86">
        <v>2</v>
      </c>
      <c r="F86" t="str">
        <f>VLOOKUP(C86,customers!A:B,2,FALSE)</f>
        <v>johN</v>
      </c>
      <c r="G86" t="str">
        <f>INDEX(products!B:B, MATCH(D86, products!A:A, 0))</f>
        <v xml:space="preserve"> Donut</v>
      </c>
      <c r="H86" s="4">
        <f>VLOOKUP(D86,products!A:C,3,FALSE)</f>
        <v>452</v>
      </c>
      <c r="I86" s="4">
        <f>orders[[#This Row],[qty]]*orders[[#This Row],[Price]]</f>
        <v>904</v>
      </c>
    </row>
    <row r="87" spans="1:9" x14ac:dyDescent="0.25">
      <c r="A87" s="2">
        <v>1517</v>
      </c>
      <c r="B87" s="1">
        <v>44974</v>
      </c>
      <c r="C87" s="2">
        <v>21</v>
      </c>
      <c r="D87" s="3">
        <v>628</v>
      </c>
      <c r="E87">
        <v>10</v>
      </c>
      <c r="F87" t="str">
        <f>VLOOKUP(C87,customers!A:B,2,FALSE)</f>
        <v>Lisa</v>
      </c>
      <c r="G87" t="str">
        <f>INDEX(products!B:B, MATCH(D87, products!A:A, 0))</f>
        <v>Fish</v>
      </c>
      <c r="H87" s="4">
        <f>VLOOKUP(D87,products!A:C,3,FALSE)</f>
        <v>206</v>
      </c>
      <c r="I87" s="4">
        <f>orders[[#This Row],[qty]]*orders[[#This Row],[Price]]</f>
        <v>2060</v>
      </c>
    </row>
    <row r="88" spans="1:9" x14ac:dyDescent="0.25">
      <c r="A88" s="2">
        <v>1522</v>
      </c>
      <c r="B88" s="1">
        <v>44974</v>
      </c>
      <c r="C88" s="2">
        <v>11</v>
      </c>
      <c r="D88" s="3">
        <v>392</v>
      </c>
      <c r="E88">
        <v>4</v>
      </c>
      <c r="F88" t="str">
        <f>VLOOKUP(C88,customers!A:B,2,FALSE)</f>
        <v>AnthoNY</v>
      </c>
      <c r="G88" t="str">
        <f>INDEX(products!B:B, MATCH(D88, products!A:A, 0))</f>
        <v>Yogurt</v>
      </c>
      <c r="H88" s="4">
        <f>VLOOKUP(D88,products!A:C,3,FALSE)</f>
        <v>118</v>
      </c>
      <c r="I88" s="4">
        <f>orders[[#This Row],[qty]]*orders[[#This Row],[Price]]</f>
        <v>472</v>
      </c>
    </row>
    <row r="89" spans="1:9" x14ac:dyDescent="0.25">
      <c r="A89" s="2">
        <v>1527</v>
      </c>
      <c r="B89" s="1">
        <v>44974</v>
      </c>
      <c r="C89" s="2">
        <v>35</v>
      </c>
      <c r="D89" s="3">
        <v>484</v>
      </c>
      <c r="E89">
        <v>6</v>
      </c>
      <c r="F89" t="str">
        <f>VLOOKUP(C89,customers!A:B,2,FALSE)</f>
        <v>MiKe</v>
      </c>
      <c r="G89" t="str">
        <f>INDEX(products!B:B, MATCH(D89, products!A:A, 0))</f>
        <v xml:space="preserve">          Hamburger</v>
      </c>
      <c r="H89" s="4">
        <f>VLOOKUP(D89,products!A:C,3,FALSE)</f>
        <v>250</v>
      </c>
      <c r="I89" s="4">
        <f>orders[[#This Row],[qty]]*orders[[#This Row],[Price]]</f>
        <v>1500</v>
      </c>
    </row>
    <row r="90" spans="1:9" x14ac:dyDescent="0.25">
      <c r="A90" s="2">
        <v>1533</v>
      </c>
      <c r="B90" s="1">
        <v>44974</v>
      </c>
      <c r="C90" s="2">
        <v>50</v>
      </c>
      <c r="D90" s="3">
        <v>294</v>
      </c>
      <c r="E90">
        <v>8</v>
      </c>
      <c r="F90" t="str">
        <f>VLOOKUP(C90,customers!A:B,2,FALSE)</f>
        <v>BRuce</v>
      </c>
      <c r="G90" t="str">
        <f>INDEX(products!B:B, MATCH(D90, products!A:A, 0))</f>
        <v>Rice</v>
      </c>
      <c r="H90" s="4">
        <f>VLOOKUP(D90,products!A:C,3,FALSE)</f>
        <v>130</v>
      </c>
      <c r="I90" s="4">
        <f>orders[[#This Row],[qty]]*orders[[#This Row],[Price]]</f>
        <v>1040</v>
      </c>
    </row>
    <row r="91" spans="1:9" x14ac:dyDescent="0.25">
      <c r="A91" s="2">
        <v>1536</v>
      </c>
      <c r="B91" s="1">
        <v>44975</v>
      </c>
      <c r="C91" s="2">
        <v>29</v>
      </c>
      <c r="D91" s="3">
        <v>392</v>
      </c>
      <c r="E91">
        <v>4</v>
      </c>
      <c r="F91" t="str">
        <f>VLOOKUP(C91,customers!A:B,2,FALSE)</f>
        <v>johN</v>
      </c>
      <c r="G91" t="str">
        <f>INDEX(products!B:B, MATCH(D91, products!A:A, 0))</f>
        <v>Yogurt</v>
      </c>
      <c r="H91" s="4">
        <f>VLOOKUP(D91,products!A:C,3,FALSE)</f>
        <v>118</v>
      </c>
      <c r="I91" s="4">
        <f>orders[[#This Row],[qty]]*orders[[#This Row],[Price]]</f>
        <v>472</v>
      </c>
    </row>
    <row r="92" spans="1:9" x14ac:dyDescent="0.25">
      <c r="A92" s="2">
        <v>1540</v>
      </c>
      <c r="B92" s="1">
        <v>44975</v>
      </c>
      <c r="C92" s="2">
        <v>35</v>
      </c>
      <c r="D92" s="3">
        <v>294</v>
      </c>
      <c r="E92">
        <v>5</v>
      </c>
      <c r="F92" t="str">
        <f>VLOOKUP(C92,customers!A:B,2,FALSE)</f>
        <v>MiKe</v>
      </c>
      <c r="G92" t="str">
        <f>INDEX(products!B:B, MATCH(D92, products!A:A, 0))</f>
        <v>Rice</v>
      </c>
      <c r="H92" s="4">
        <f>VLOOKUP(D92,products!A:C,3,FALSE)</f>
        <v>130</v>
      </c>
      <c r="I92" s="4">
        <f>orders[[#This Row],[qty]]*orders[[#This Row],[Price]]</f>
        <v>650</v>
      </c>
    </row>
    <row r="93" spans="1:9" x14ac:dyDescent="0.25">
      <c r="A93" s="2">
        <v>1547</v>
      </c>
      <c r="B93" s="1">
        <v>44975</v>
      </c>
      <c r="C93" s="2">
        <v>34</v>
      </c>
      <c r="D93" s="3">
        <v>862</v>
      </c>
      <c r="E93">
        <v>3</v>
      </c>
      <c r="F93" t="str">
        <f>VLOOKUP(C93,customers!A:B,2,FALSE)</f>
        <v>JaY</v>
      </c>
      <c r="G93" t="str">
        <f>INDEX(products!B:B, MATCH(D93, products!A:A, 0))</f>
        <v>Chocolate Cake</v>
      </c>
      <c r="H93" s="4">
        <f>VLOOKUP(D93,products!A:C,3,FALSE)</f>
        <v>452</v>
      </c>
      <c r="I93" s="4">
        <f>orders[[#This Row],[qty]]*orders[[#This Row],[Price]]</f>
        <v>1356</v>
      </c>
    </row>
    <row r="94" spans="1:9" x14ac:dyDescent="0.25">
      <c r="A94" s="2">
        <v>1552</v>
      </c>
      <c r="B94" s="1">
        <v>44975</v>
      </c>
      <c r="C94" s="2">
        <v>79</v>
      </c>
      <c r="D94" s="3">
        <v>163</v>
      </c>
      <c r="E94">
        <v>3</v>
      </c>
      <c r="F94" t="str">
        <f>VLOOKUP(C94,customers!A:B,2,FALSE)</f>
        <v>TiM</v>
      </c>
      <c r="G94" t="str">
        <f>INDEX(products!B:B, MATCH(D94, products!A:A, 0))</f>
        <v>Grape Juice</v>
      </c>
      <c r="H94" s="4">
        <f>VLOOKUP(D94,products!A:C,3,FALSE)</f>
        <v>152</v>
      </c>
      <c r="I94" s="4">
        <f>orders[[#This Row],[qty]]*orders[[#This Row],[Price]]</f>
        <v>456</v>
      </c>
    </row>
    <row r="95" spans="1:9" x14ac:dyDescent="0.25">
      <c r="A95" s="2">
        <v>1557</v>
      </c>
      <c r="B95" s="1">
        <v>44975</v>
      </c>
      <c r="C95" s="2">
        <v>21</v>
      </c>
      <c r="D95" s="3">
        <v>628</v>
      </c>
      <c r="E95">
        <v>6</v>
      </c>
      <c r="F95" t="str">
        <f>VLOOKUP(C95,customers!A:B,2,FALSE)</f>
        <v>Lisa</v>
      </c>
      <c r="G95" t="str">
        <f>INDEX(products!B:B, MATCH(D95, products!A:A, 0))</f>
        <v>Fish</v>
      </c>
      <c r="H95" s="4">
        <f>VLOOKUP(D95,products!A:C,3,FALSE)</f>
        <v>206</v>
      </c>
      <c r="I95" s="4">
        <f>orders[[#This Row],[qty]]*orders[[#This Row],[Price]]</f>
        <v>1236</v>
      </c>
    </row>
    <row r="96" spans="1:9" x14ac:dyDescent="0.25">
      <c r="A96" s="2">
        <v>1569</v>
      </c>
      <c r="B96" s="1">
        <v>44976</v>
      </c>
      <c r="C96" s="2">
        <v>35</v>
      </c>
      <c r="D96" s="3">
        <v>862</v>
      </c>
      <c r="E96">
        <v>5</v>
      </c>
      <c r="F96" t="str">
        <f>VLOOKUP(C96,customers!A:B,2,FALSE)</f>
        <v>MiKe</v>
      </c>
      <c r="G96" t="str">
        <f>INDEX(products!B:B, MATCH(D96, products!A:A, 0))</f>
        <v>Chocolate Cake</v>
      </c>
      <c r="H96" s="4">
        <f>VLOOKUP(D96,products!A:C,3,FALSE)</f>
        <v>452</v>
      </c>
      <c r="I96" s="4">
        <f>orders[[#This Row],[qty]]*orders[[#This Row],[Price]]</f>
        <v>2260</v>
      </c>
    </row>
    <row r="97" spans="1:9" x14ac:dyDescent="0.25">
      <c r="A97" s="2">
        <v>1572</v>
      </c>
      <c r="B97" s="1">
        <v>44976</v>
      </c>
      <c r="C97" s="2">
        <v>21</v>
      </c>
      <c r="D97" s="3">
        <v>704</v>
      </c>
      <c r="E97">
        <v>4</v>
      </c>
      <c r="F97" t="str">
        <f>VLOOKUP(C97,customers!A:B,2,FALSE)</f>
        <v>Lisa</v>
      </c>
      <c r="G97" t="str">
        <f>INDEX(products!B:B, MATCH(D97, products!A:A, 0))</f>
        <v>Eggs</v>
      </c>
      <c r="H97" s="4">
        <f>VLOOKUP(D97,products!A:C,3,FALSE)</f>
        <v>155</v>
      </c>
      <c r="I97" s="4">
        <f>orders[[#This Row],[qty]]*orders[[#This Row],[Price]]</f>
        <v>620</v>
      </c>
    </row>
    <row r="98" spans="1:9" x14ac:dyDescent="0.25">
      <c r="A98" s="2">
        <v>1573</v>
      </c>
      <c r="B98" s="1">
        <v>44976</v>
      </c>
      <c r="C98" s="2">
        <v>19</v>
      </c>
      <c r="D98" s="3">
        <v>646</v>
      </c>
      <c r="F98" t="str">
        <f>VLOOKUP(C98,customers!A:B,2,FALSE)</f>
        <v>ahmeD</v>
      </c>
      <c r="G98" t="str">
        <f>INDEX(products!B:B, MATCH(D98, products!A:A, 0))</f>
        <v xml:space="preserve">  Apple</v>
      </c>
      <c r="H98" s="4">
        <f>VLOOKUP(D98,products!A:C,3,FALSE)</f>
        <v>52</v>
      </c>
      <c r="I98" s="4">
        <f>orders[[#This Row],[qty]]*orders[[#This Row],[Price]]</f>
        <v>0</v>
      </c>
    </row>
    <row r="99" spans="1:9" x14ac:dyDescent="0.25">
      <c r="A99" s="2">
        <v>1574</v>
      </c>
      <c r="B99" s="1">
        <v>44976</v>
      </c>
      <c r="C99" s="2">
        <v>79</v>
      </c>
      <c r="D99" s="3">
        <v>590</v>
      </c>
      <c r="E99">
        <v>2</v>
      </c>
      <c r="F99" t="str">
        <f>VLOOKUP(C99,customers!A:B,2,FALSE)</f>
        <v>TiM</v>
      </c>
      <c r="G99" t="str">
        <f>INDEX(products!B:B, MATCH(D99, products!A:A, 0))</f>
        <v>French Fries</v>
      </c>
      <c r="H99" s="4">
        <f>VLOOKUP(D99,products!A:C,3,FALSE)</f>
        <v>365</v>
      </c>
      <c r="I99" s="4">
        <f>orders[[#This Row],[qty]]*orders[[#This Row],[Price]]</f>
        <v>730</v>
      </c>
    </row>
    <row r="100" spans="1:9" x14ac:dyDescent="0.25">
      <c r="A100" s="2">
        <v>1576</v>
      </c>
      <c r="B100" s="1">
        <v>44976</v>
      </c>
      <c r="C100" s="2">
        <v>11</v>
      </c>
      <c r="D100" s="3">
        <v>392</v>
      </c>
      <c r="E100">
        <v>3</v>
      </c>
      <c r="F100" t="str">
        <f>VLOOKUP(C100,customers!A:B,2,FALSE)</f>
        <v>AnthoNY</v>
      </c>
      <c r="G100" t="str">
        <f>INDEX(products!B:B, MATCH(D100, products!A:A, 0))</f>
        <v>Yogurt</v>
      </c>
      <c r="H100" s="4">
        <f>VLOOKUP(D100,products!A:C,3,FALSE)</f>
        <v>118</v>
      </c>
      <c r="I100" s="4">
        <f>orders[[#This Row],[qty]]*orders[[#This Row],[Price]]</f>
        <v>354</v>
      </c>
    </row>
    <row r="101" spans="1:9" x14ac:dyDescent="0.25">
      <c r="A101" s="2">
        <v>1580</v>
      </c>
      <c r="B101" s="1">
        <v>44977</v>
      </c>
      <c r="C101" s="2">
        <v>14</v>
      </c>
      <c r="D101" s="3">
        <v>392</v>
      </c>
      <c r="E101">
        <v>2</v>
      </c>
      <c r="F101" t="str">
        <f>VLOOKUP(C101,customers!A:B,2,FALSE)</f>
        <v>RavI</v>
      </c>
      <c r="G101" t="str">
        <f>INDEX(products!B:B, MATCH(D101, products!A:A, 0))</f>
        <v>Yogurt</v>
      </c>
      <c r="H101" s="4">
        <f>VLOOKUP(D101,products!A:C,3,FALSE)</f>
        <v>118</v>
      </c>
      <c r="I101" s="4">
        <f>orders[[#This Row],[qty]]*orders[[#This Row],[Price]]</f>
        <v>236</v>
      </c>
    </row>
    <row r="102" spans="1:9" x14ac:dyDescent="0.25">
      <c r="A102" s="2">
        <v>1582</v>
      </c>
      <c r="B102" s="1">
        <v>44977</v>
      </c>
      <c r="C102" s="2">
        <v>35</v>
      </c>
      <c r="D102" s="3">
        <v>811</v>
      </c>
      <c r="E102">
        <v>4</v>
      </c>
      <c r="F102" t="str">
        <f>VLOOKUP(C102,customers!A:B,2,FALSE)</f>
        <v>MiKe</v>
      </c>
      <c r="G102" t="str">
        <f>INDEX(products!B:B, MATCH(D102, products!A:A, 0))</f>
        <v>Celery</v>
      </c>
      <c r="H102" s="4">
        <f>VLOOKUP(D102,products!A:C,3,FALSE)</f>
        <v>16</v>
      </c>
      <c r="I102" s="4">
        <f>orders[[#This Row],[qty]]*orders[[#This Row],[Price]]</f>
        <v>64</v>
      </c>
    </row>
    <row r="103" spans="1:9" x14ac:dyDescent="0.25">
      <c r="A103" s="2">
        <v>1584</v>
      </c>
      <c r="B103" s="1">
        <v>44977</v>
      </c>
      <c r="C103" s="2">
        <v>21</v>
      </c>
      <c r="D103" s="3">
        <v>651</v>
      </c>
      <c r="F103" t="str">
        <f>VLOOKUP(C103,customers!A:B,2,FALSE)</f>
        <v>Lisa</v>
      </c>
      <c r="G103" t="str">
        <f>INDEX(products!B:B, MATCH(D103, products!A:A, 0))</f>
        <v>Banana</v>
      </c>
      <c r="H103" s="4">
        <f>VLOOKUP(D103,products!A:C,3,FALSE)</f>
        <v>89</v>
      </c>
      <c r="I103" s="4">
        <f>orders[[#This Row],[qty]]*orders[[#This Row],[Price]]</f>
        <v>0</v>
      </c>
    </row>
    <row r="104" spans="1:9" x14ac:dyDescent="0.25">
      <c r="A104" s="2">
        <v>1587</v>
      </c>
      <c r="B104" s="1">
        <v>44977</v>
      </c>
      <c r="C104" s="2">
        <v>11</v>
      </c>
      <c r="D104" s="3">
        <v>804</v>
      </c>
      <c r="E104">
        <v>8</v>
      </c>
      <c r="F104" t="str">
        <f>VLOOKUP(C104,customers!A:B,2,FALSE)</f>
        <v>AnthoNY</v>
      </c>
      <c r="G104" t="str">
        <f>INDEX(products!B:B, MATCH(D104, products!A:A, 0))</f>
        <v>Broccoli</v>
      </c>
      <c r="H104" s="4">
        <f>VLOOKUP(D104,products!A:C,3,FALSE)</f>
        <v>34</v>
      </c>
      <c r="I104" s="4">
        <f>orders[[#This Row],[qty]]*orders[[#This Row],[Price]]</f>
        <v>272</v>
      </c>
    </row>
    <row r="105" spans="1:9" x14ac:dyDescent="0.25">
      <c r="A105" s="2">
        <v>1597</v>
      </c>
      <c r="B105" s="1">
        <v>44977</v>
      </c>
      <c r="C105" s="2">
        <v>29</v>
      </c>
      <c r="D105" s="3">
        <v>739</v>
      </c>
      <c r="E105">
        <v>12</v>
      </c>
      <c r="F105" t="str">
        <f>VLOOKUP(C105,customers!A:B,2,FALSE)</f>
        <v>johN</v>
      </c>
      <c r="G105" t="str">
        <f>INDEX(products!B:B, MATCH(D105, products!A:A, 0))</f>
        <v xml:space="preserve"> Donut</v>
      </c>
      <c r="H105" s="4">
        <f>VLOOKUP(D105,products!A:C,3,FALSE)</f>
        <v>452</v>
      </c>
      <c r="I105" s="4">
        <f>orders[[#This Row],[qty]]*orders[[#This Row],[Price]]</f>
        <v>5424</v>
      </c>
    </row>
    <row r="106" spans="1:9" x14ac:dyDescent="0.25">
      <c r="A106" s="2">
        <v>1597</v>
      </c>
      <c r="B106" s="1">
        <v>44977</v>
      </c>
      <c r="C106" s="2">
        <v>29</v>
      </c>
      <c r="D106" s="3">
        <v>739</v>
      </c>
      <c r="E106">
        <v>12</v>
      </c>
      <c r="F106" t="str">
        <f>VLOOKUP(C106,customers!A:B,2,FALSE)</f>
        <v>johN</v>
      </c>
      <c r="G106" t="str">
        <f>INDEX(products!B:B, MATCH(D106, products!A:A, 0))</f>
        <v xml:space="preserve"> Donut</v>
      </c>
      <c r="H106" s="4">
        <f>VLOOKUP(D106,products!A:C,3,FALSE)</f>
        <v>452</v>
      </c>
      <c r="I106" s="4">
        <f>orders[[#This Row],[qty]]*orders[[#This Row],[Price]]</f>
        <v>5424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M25" sqref="M25"/>
    </sheetView>
  </sheetViews>
  <sheetFormatPr defaultRowHeight="15" x14ac:dyDescent="0.25"/>
  <cols>
    <col min="1" max="1" width="13.42578125" style="2" customWidth="1"/>
    <col min="2" max="2" width="17.140625" customWidth="1"/>
    <col min="3" max="3" width="11.5703125" customWidth="1"/>
    <col min="4" max="4" width="13.28515625" customWidth="1"/>
    <col min="5" max="5" width="9.5703125" customWidth="1"/>
    <col min="7" max="7" width="18.5703125" style="2" customWidth="1"/>
    <col min="8" max="8" width="8.85546875" customWidth="1"/>
  </cols>
  <sheetData>
    <row r="1" spans="1:7" x14ac:dyDescent="0.25">
      <c r="A1" s="2" t="s">
        <v>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2" t="s">
        <v>53</v>
      </c>
    </row>
    <row r="2" spans="1:7" x14ac:dyDescent="0.25">
      <c r="A2" s="2">
        <v>646</v>
      </c>
      <c r="B2" t="s">
        <v>10</v>
      </c>
      <c r="C2">
        <v>52</v>
      </c>
      <c r="D2">
        <v>0.26</v>
      </c>
      <c r="E2">
        <v>13.8</v>
      </c>
      <c r="F2">
        <v>0.17</v>
      </c>
      <c r="G2" s="2" t="s">
        <v>11</v>
      </c>
    </row>
    <row r="3" spans="1:7" x14ac:dyDescent="0.25">
      <c r="A3" s="2">
        <v>651</v>
      </c>
      <c r="B3" t="s">
        <v>12</v>
      </c>
      <c r="C3">
        <v>89</v>
      </c>
      <c r="D3">
        <v>1.0900000000000001</v>
      </c>
      <c r="E3">
        <v>22.8</v>
      </c>
      <c r="F3">
        <v>0.33</v>
      </c>
      <c r="G3" s="2" t="s">
        <v>13</v>
      </c>
    </row>
    <row r="4" spans="1:7" x14ac:dyDescent="0.25">
      <c r="A4" s="2">
        <v>886</v>
      </c>
      <c r="B4" t="s">
        <v>14</v>
      </c>
      <c r="C4">
        <v>322</v>
      </c>
      <c r="D4">
        <v>4.0199999999999996</v>
      </c>
      <c r="E4">
        <v>17.149999999999999</v>
      </c>
      <c r="F4">
        <v>29.47</v>
      </c>
      <c r="G4" s="2" t="s">
        <v>15</v>
      </c>
    </row>
    <row r="5" spans="1:7" x14ac:dyDescent="0.25">
      <c r="A5" s="2">
        <v>804</v>
      </c>
      <c r="B5" t="s">
        <v>16</v>
      </c>
      <c r="C5">
        <v>34</v>
      </c>
      <c r="D5">
        <v>2.82</v>
      </c>
      <c r="E5">
        <v>6.64</v>
      </c>
      <c r="F5">
        <v>0.37</v>
      </c>
      <c r="G5" s="2" t="s">
        <v>17</v>
      </c>
    </row>
    <row r="6" spans="1:7" x14ac:dyDescent="0.25">
      <c r="A6" s="2">
        <v>594</v>
      </c>
      <c r="B6" t="s">
        <v>18</v>
      </c>
      <c r="C6">
        <v>335</v>
      </c>
      <c r="D6">
        <v>31.02</v>
      </c>
      <c r="E6">
        <v>0</v>
      </c>
      <c r="F6">
        <v>23.11</v>
      </c>
      <c r="G6" s="2" t="s">
        <v>19</v>
      </c>
    </row>
    <row r="7" spans="1:7" x14ac:dyDescent="0.25">
      <c r="A7" s="2">
        <v>628</v>
      </c>
      <c r="B7" t="s">
        <v>20</v>
      </c>
      <c r="C7">
        <v>206</v>
      </c>
      <c r="D7">
        <v>20.260000000000002</v>
      </c>
      <c r="E7">
        <v>0</v>
      </c>
      <c r="F7">
        <v>13.92</v>
      </c>
      <c r="G7" s="2" t="s">
        <v>21</v>
      </c>
    </row>
    <row r="8" spans="1:7" x14ac:dyDescent="0.25">
      <c r="A8" s="2">
        <v>294</v>
      </c>
      <c r="B8" t="s">
        <v>22</v>
      </c>
      <c r="C8">
        <v>130</v>
      </c>
      <c r="D8">
        <v>2.69</v>
      </c>
      <c r="E8">
        <v>28.73</v>
      </c>
      <c r="F8">
        <v>0.28000000000000003</v>
      </c>
      <c r="G8" s="2" t="s">
        <v>13</v>
      </c>
    </row>
    <row r="9" spans="1:7" x14ac:dyDescent="0.25">
      <c r="A9" s="2">
        <v>328</v>
      </c>
      <c r="B9" t="s">
        <v>23</v>
      </c>
      <c r="C9">
        <v>131</v>
      </c>
      <c r="D9">
        <v>5.47</v>
      </c>
      <c r="E9">
        <v>25.77</v>
      </c>
      <c r="F9">
        <v>1.03</v>
      </c>
      <c r="G9" s="2" t="s">
        <v>24</v>
      </c>
    </row>
    <row r="10" spans="1:7" x14ac:dyDescent="0.25">
      <c r="A10" s="2">
        <v>521</v>
      </c>
      <c r="B10" t="s">
        <v>25</v>
      </c>
      <c r="C10">
        <v>41</v>
      </c>
      <c r="D10">
        <v>0.93</v>
      </c>
      <c r="E10">
        <v>9.58</v>
      </c>
      <c r="F10">
        <v>0.24</v>
      </c>
      <c r="G10" s="2" t="s">
        <v>26</v>
      </c>
    </row>
    <row r="11" spans="1:7" x14ac:dyDescent="0.25">
      <c r="A11" s="2">
        <v>811</v>
      </c>
      <c r="B11" t="s">
        <v>27</v>
      </c>
      <c r="C11">
        <v>16</v>
      </c>
      <c r="D11">
        <v>0.69</v>
      </c>
      <c r="E11">
        <v>3.06</v>
      </c>
      <c r="F11">
        <v>0.17</v>
      </c>
      <c r="G11" s="2" t="s">
        <v>28</v>
      </c>
    </row>
    <row r="12" spans="1:7" x14ac:dyDescent="0.25">
      <c r="A12" s="2">
        <v>797</v>
      </c>
      <c r="B12" t="s">
        <v>29</v>
      </c>
      <c r="C12">
        <v>402</v>
      </c>
      <c r="D12">
        <v>25.09</v>
      </c>
      <c r="E12">
        <v>3.09</v>
      </c>
      <c r="F12">
        <v>33.82</v>
      </c>
      <c r="G12" s="2" t="s">
        <v>13</v>
      </c>
    </row>
    <row r="13" spans="1:7" x14ac:dyDescent="0.25">
      <c r="A13" s="2">
        <v>862</v>
      </c>
      <c r="B13" t="s">
        <v>30</v>
      </c>
      <c r="C13">
        <v>452</v>
      </c>
      <c r="D13">
        <v>3.75</v>
      </c>
      <c r="E13">
        <v>44.61</v>
      </c>
      <c r="F13">
        <v>29.11</v>
      </c>
      <c r="G13" s="2" t="s">
        <v>11</v>
      </c>
    </row>
    <row r="14" spans="1:7" x14ac:dyDescent="0.25">
      <c r="A14" s="2">
        <v>392</v>
      </c>
      <c r="B14" t="s">
        <v>31</v>
      </c>
      <c r="C14">
        <v>118</v>
      </c>
      <c r="D14">
        <v>6.38</v>
      </c>
      <c r="E14">
        <v>14.02</v>
      </c>
      <c r="F14">
        <v>4.0999999999999996</v>
      </c>
      <c r="G14" s="2" t="s">
        <v>17</v>
      </c>
    </row>
    <row r="15" spans="1:7" x14ac:dyDescent="0.25">
      <c r="A15" s="2">
        <v>739</v>
      </c>
      <c r="B15" t="s">
        <v>32</v>
      </c>
      <c r="C15">
        <v>452</v>
      </c>
      <c r="D15">
        <v>4.09</v>
      </c>
      <c r="E15">
        <v>50.44</v>
      </c>
      <c r="F15">
        <v>27.51</v>
      </c>
      <c r="G15" s="2" t="s">
        <v>26</v>
      </c>
    </row>
    <row r="16" spans="1:7" x14ac:dyDescent="0.25">
      <c r="A16" s="2">
        <v>704</v>
      </c>
      <c r="B16" t="s">
        <v>33</v>
      </c>
      <c r="C16">
        <v>155</v>
      </c>
      <c r="D16">
        <v>12.58</v>
      </c>
      <c r="E16">
        <v>0.77</v>
      </c>
      <c r="F16">
        <v>10.61</v>
      </c>
      <c r="G16" s="2" t="s">
        <v>34</v>
      </c>
    </row>
    <row r="17" spans="1:7" x14ac:dyDescent="0.25">
      <c r="A17" s="2">
        <v>590</v>
      </c>
      <c r="B17" t="s">
        <v>35</v>
      </c>
      <c r="C17">
        <v>365</v>
      </c>
      <c r="D17">
        <v>4.34</v>
      </c>
      <c r="E17">
        <v>49.74</v>
      </c>
      <c r="F17">
        <v>17.53</v>
      </c>
      <c r="G17" s="2" t="s">
        <v>28</v>
      </c>
    </row>
    <row r="18" spans="1:7" x14ac:dyDescent="0.25">
      <c r="A18" s="2">
        <v>600</v>
      </c>
      <c r="B18" t="s">
        <v>36</v>
      </c>
      <c r="C18">
        <v>42</v>
      </c>
      <c r="D18">
        <v>0.79</v>
      </c>
      <c r="E18">
        <v>10.66</v>
      </c>
      <c r="F18">
        <v>0.14000000000000001</v>
      </c>
      <c r="G18" s="2" t="s">
        <v>37</v>
      </c>
    </row>
    <row r="19" spans="1:7" x14ac:dyDescent="0.25">
      <c r="A19" s="2">
        <v>163</v>
      </c>
      <c r="B19" t="s">
        <v>38</v>
      </c>
      <c r="C19">
        <v>152</v>
      </c>
      <c r="D19">
        <v>1.72</v>
      </c>
      <c r="E19">
        <v>37.130000000000003</v>
      </c>
      <c r="F19">
        <v>0.37</v>
      </c>
      <c r="G19" s="2" t="s">
        <v>26</v>
      </c>
    </row>
    <row r="20" spans="1:7" x14ac:dyDescent="0.25">
      <c r="A20" s="2">
        <v>794</v>
      </c>
      <c r="B20" t="s">
        <v>39</v>
      </c>
      <c r="C20">
        <v>440</v>
      </c>
      <c r="D20">
        <v>21.73</v>
      </c>
      <c r="E20">
        <v>33.46</v>
      </c>
      <c r="F20">
        <v>26.27</v>
      </c>
      <c r="G20" s="2" t="s">
        <v>15</v>
      </c>
    </row>
    <row r="21" spans="1:7" x14ac:dyDescent="0.25">
      <c r="A21" s="2">
        <v>484</v>
      </c>
      <c r="B21" t="s">
        <v>40</v>
      </c>
      <c r="C21">
        <v>250</v>
      </c>
      <c r="D21">
        <v>13.29</v>
      </c>
      <c r="E21">
        <v>17.32</v>
      </c>
      <c r="F21">
        <v>14.62</v>
      </c>
      <c r="G21" s="2" t="s">
        <v>41</v>
      </c>
    </row>
  </sheetData>
  <conditionalFormatting sqref="A2:A21">
    <cfRule type="duplicateValues" dxfId="3" priority="1"/>
    <cfRule type="duplicateValues" dxfId="2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6" sqref="D6"/>
    </sheetView>
  </sheetViews>
  <sheetFormatPr defaultRowHeight="15" x14ac:dyDescent="0.25"/>
  <cols>
    <col min="1" max="1" width="17.28515625" style="2" customWidth="1"/>
    <col min="2" max="2" width="13.42578125" customWidth="1"/>
  </cols>
  <sheetData>
    <row r="1" spans="1:2" x14ac:dyDescent="0.25">
      <c r="A1" s="2" t="s">
        <v>2</v>
      </c>
      <c r="B1" t="s">
        <v>42</v>
      </c>
    </row>
    <row r="2" spans="1:2" x14ac:dyDescent="0.25">
      <c r="A2" s="2">
        <v>34</v>
      </c>
      <c r="B2" t="s">
        <v>43</v>
      </c>
    </row>
    <row r="3" spans="1:2" x14ac:dyDescent="0.25">
      <c r="A3" s="2">
        <v>29</v>
      </c>
      <c r="B3" t="s">
        <v>44</v>
      </c>
    </row>
    <row r="4" spans="1:2" x14ac:dyDescent="0.25">
      <c r="A4" s="2">
        <v>79</v>
      </c>
      <c r="B4" t="s">
        <v>45</v>
      </c>
    </row>
    <row r="5" spans="1:2" x14ac:dyDescent="0.25">
      <c r="A5" s="2">
        <v>14</v>
      </c>
      <c r="B5" t="s">
        <v>46</v>
      </c>
    </row>
    <row r="6" spans="1:2" x14ac:dyDescent="0.25">
      <c r="A6" s="2">
        <v>21</v>
      </c>
      <c r="B6" t="s">
        <v>47</v>
      </c>
    </row>
    <row r="7" spans="1:2" x14ac:dyDescent="0.25">
      <c r="A7" s="2">
        <v>19</v>
      </c>
      <c r="B7" t="s">
        <v>48</v>
      </c>
    </row>
    <row r="8" spans="1:2" x14ac:dyDescent="0.25">
      <c r="A8" s="2">
        <v>35</v>
      </c>
      <c r="B8" t="s">
        <v>49</v>
      </c>
    </row>
    <row r="9" spans="1:2" x14ac:dyDescent="0.25">
      <c r="A9" s="2">
        <v>50</v>
      </c>
      <c r="B9" t="s">
        <v>50</v>
      </c>
    </row>
    <row r="10" spans="1:2" x14ac:dyDescent="0.25">
      <c r="A10" s="2">
        <v>35</v>
      </c>
      <c r="B10" t="s">
        <v>51</v>
      </c>
    </row>
    <row r="11" spans="1:2" x14ac:dyDescent="0.25">
      <c r="A11" s="2">
        <v>11</v>
      </c>
      <c r="B1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AE54E1-8FDB-4657-88E6-32BDE4D9C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46EAF7-E241-4A90-B57E-D13F3C41268F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46297aa2-77d1-4586-9726-07d56a535ee7"/>
    <ds:schemaRef ds:uri="http://purl.org/dc/dcmitype/"/>
    <ds:schemaRef ds:uri="http://schemas.openxmlformats.org/package/2006/metadata/core-properties"/>
    <ds:schemaRef ds:uri="631564f6-0349-4cc5-b00d-7cf3ba42f824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9C62C7D-DA10-4966-8738-F2BFB98DD2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</dc:creator>
  <cp:keywords/>
  <dc:description/>
  <cp:lastModifiedBy>ADMIN</cp:lastModifiedBy>
  <cp:revision/>
  <dcterms:created xsi:type="dcterms:W3CDTF">2023-03-21T06:16:01Z</dcterms:created>
  <dcterms:modified xsi:type="dcterms:W3CDTF">2026-03-11T07:33:06Z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