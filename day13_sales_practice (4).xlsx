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DMIN\Downloads\"/>
    </mc:Choice>
  </mc:AlternateContent>
  <bookViews>
    <workbookView xWindow="0" yWindow="0" windowWidth="20490" windowHeight="9045" activeTab="1"/>
  </bookViews>
  <sheets>
    <sheet name="Sales_Data" sheetId="1" r:id="rId1"/>
    <sheet name="Dashboard" sheetId="3" r:id="rId2"/>
    <sheet name="Sheet2" sheetId="4" state="hidden" r:id="rId3"/>
  </sheets>
  <definedNames>
    <definedName name="Slicer_Region">#N/A</definedName>
  </definedNames>
  <calcPr calcId="152511"/>
  <pivotCaches>
    <pivotCache cacheId="5"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B7" i="3" l="1"/>
  <c r="B6" i="3"/>
  <c r="B5" i="3"/>
  <c r="B4" i="3"/>
</calcChain>
</file>

<file path=xl/sharedStrings.xml><?xml version="1.0" encoding="utf-8"?>
<sst xmlns="http://schemas.openxmlformats.org/spreadsheetml/2006/main" count="100" uniqueCount="48">
  <si>
    <t>Date</t>
  </si>
  <si>
    <t>Region</t>
  </si>
  <si>
    <t>Product</t>
  </si>
  <si>
    <t>Quantity</t>
  </si>
  <si>
    <t>Unit Price</t>
  </si>
  <si>
    <t>Revenue</t>
  </si>
  <si>
    <t>East</t>
  </si>
  <si>
    <t>Laptop</t>
  </si>
  <si>
    <t>02-01-2024</t>
  </si>
  <si>
    <t>West</t>
  </si>
  <si>
    <t>Phone</t>
  </si>
  <si>
    <t>03-01-2024</t>
  </si>
  <si>
    <t>04-01-2024</t>
  </si>
  <si>
    <t>05-01-2024</t>
  </si>
  <si>
    <t>06-01-2024</t>
  </si>
  <si>
    <t>07-01-2024</t>
  </si>
  <si>
    <t>08-01-2024</t>
  </si>
  <si>
    <t>09-01-2024</t>
  </si>
  <si>
    <t>10-01-2024</t>
  </si>
  <si>
    <t>11-01-2024</t>
  </si>
  <si>
    <t>12-01-2024</t>
  </si>
  <si>
    <t>13-01-2024</t>
  </si>
  <si>
    <t>14-01-2024</t>
  </si>
  <si>
    <t>15-01-2024</t>
  </si>
  <si>
    <t>01-02-2024</t>
  </si>
  <si>
    <t>South</t>
  </si>
  <si>
    <t>Tablet</t>
  </si>
  <si>
    <t>02-02-2024</t>
  </si>
  <si>
    <t>North</t>
  </si>
  <si>
    <t>03-02-2024</t>
  </si>
  <si>
    <t>04-02-2024</t>
  </si>
  <si>
    <t>05-02-2024</t>
  </si>
  <si>
    <t>06-02-2024</t>
  </si>
  <si>
    <t>07-02-2024</t>
  </si>
  <si>
    <t>08-02-2024</t>
  </si>
  <si>
    <t>Monitor</t>
  </si>
  <si>
    <t>09-02-2024</t>
  </si>
  <si>
    <t>10-02-2024</t>
  </si>
  <si>
    <t>11-02-2024</t>
  </si>
  <si>
    <t>12-02-2024</t>
  </si>
  <si>
    <t>KPI</t>
  </si>
  <si>
    <t>Value</t>
  </si>
  <si>
    <t>Total Revenue</t>
  </si>
  <si>
    <t>Total Orders</t>
  </si>
  <si>
    <t>Total UnitsSold</t>
  </si>
  <si>
    <t>Average Revenue</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</si>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</sst>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16"/>
      <color theme="1"/>
      <name val="Calibri"/>
      <family val="2"/>
      <scheme val="minor"/>
    </font>
  </fonts>
  <fills count="3">
    <fill>
      <patternFill patternType="none"/>
    </fill>
    <fill>
      <patternFill patternType="gray125"/>
    </fill>
    <fill>
      <patternFill patternType="solid">
        <fgColor theme="5" tint="0.59999389629810485"/>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49"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1">
    <dxf>
      <numFmt numFmtId="2"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[day13_sales_practice (4).xlsx]Sheet2!PivotTable1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Region</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Sheet2!$B$1</c:f>
              <c:strCache>
                <c:ptCount val="1"/>
                <c:pt idx="0">
                  <c:v>Total</c:v>
                </c:pt>
              </c:strCache>
            </c:strRef>
          </c:tx>
          <c:spPr>
            <a:solidFill>
              <a:schemeClr val="accent1"/>
            </a:solidFill>
            <a:ln>
              <a:noFill/>
            </a:ln>
            <a:effectLst/>
          </c:spPr>
          <c:invertIfNegative val="0"/>
          <c:cat>
            <c:strRef>
              <c:f>Sheet2!$A$2:$A$6</c:f>
              <c:strCache>
                <c:ptCount val="4"/>
                <c:pt idx="0">
                  <c:v>East</c:v>
                </c:pt>
                <c:pt idx="1">
                  <c:v>North</c:v>
                </c:pt>
                <c:pt idx="2">
                  <c:v>South</c:v>
                </c:pt>
                <c:pt idx="3">
                  <c:v>West</c:v>
                </c:pt>
              </c:strCache>
            </c:strRef>
          </c:cat>
          <c:val>
            <c:numRef>
              <c:f>Sheet2!$B$2:$B$6</c:f>
              <c:numCache>
                <c:formatCode>General</c:formatCode>
                <c:ptCount val="4"/>
                <c:pt idx="0">
                  <c:v>3133000</c:v>
                </c:pt>
                <c:pt idx="1">
                  <c:v>1409000</c:v>
                </c:pt>
                <c:pt idx="2">
                  <c:v>1298000</c:v>
                </c:pt>
                <c:pt idx="3">
                  <c:v>801000</c:v>
                </c:pt>
              </c:numCache>
            </c:numRef>
          </c:val>
        </c:ser>
        <c:dLbls>
          <c:showLegendKey val="0"/>
          <c:showVal val="0"/>
          <c:showCatName val="0"/>
          <c:showSerName val="0"/>
          <c:showPercent val="0"/>
          <c:showBubbleSize val="0"/>
        </c:dLbls>
        <c:gapWidth val="219"/>
        <c:overlap val="-27"/>
        <c:axId val="-1366614400"/>
        <c:axId val="-1366611680"/>
      </c:barChart>
      <c:catAx>
        <c:axId val="-1366614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611680"/>
        <c:crosses val="autoZero"/>
        <c:auto val="1"/>
        <c:lblAlgn val="ctr"/>
        <c:lblOffset val="100"/>
        <c:noMultiLvlLbl val="0"/>
      </c:catAx>
      <c:valAx>
        <c:axId val="-1366611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6144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600075</xdr:colOff>
      <xdr:row>0</xdr:row>
      <xdr:rowOff>152400</xdr:rowOff>
    </xdr:from>
    <xdr:to>
      <xdr:col>7</xdr:col>
      <xdr:colOff>76200</xdr:colOff>
      <xdr:row>12</xdr:row>
      <xdr:rowOff>176213</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133350</xdr:colOff>
      <xdr:row>0</xdr:row>
      <xdr:rowOff>171451</xdr:rowOff>
    </xdr:from>
    <xdr:to>
      <xdr:col>9</xdr:col>
      <xdr:colOff>200025</xdr:colOff>
      <xdr:row>9</xdr:row>
      <xdr:rowOff>9525</xdr:rowOff>
    </xdr:to>
    <mc:AlternateContent xmlns:mc="http://schemas.openxmlformats.org/markup-compatibility/2006">
      <mc:Choice xmlns:a14="http://schemas.microsoft.com/office/drawing/2010/main" Requires="a14">
        <xdr:graphicFrame macro="">
          <xdr:nvGraphicFramePr>
            <xdr:cNvPr id="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800725" y="171451"/>
              <a:ext cx="1285875" cy="15525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96.788078356483" createdVersion="5" refreshedVersion="5" minRefreshableVersion="3" recordCount="27">
  <cacheSource type="worksheet">
    <worksheetSource name="Table1"/>
  </cacheSource>
  <cacheFields count="6">
    <cacheField name="Date" numFmtId="0">
      <sharedItems containsDate="1" containsMixedTypes="1" minDate="2024-01-01T00:00:00" maxDate="2024-01-02T00:00:00"/>
    </cacheField>
    <cacheField name="Region" numFmtId="0">
      <sharedItems count="4">
        <s v="East"/>
        <s v="West"/>
        <s v="South"/>
        <s v="North"/>
      </sharedItems>
    </cacheField>
    <cacheField name="Product" numFmtId="0">
      <sharedItems/>
    </cacheField>
    <cacheField name="Quantity" numFmtId="0">
      <sharedItems containsSemiMixedTypes="0" containsString="0" containsNumber="1" containsInteger="1" minValue="2" maxValue="23"/>
    </cacheField>
    <cacheField name="Unit Price" numFmtId="0">
      <sharedItems containsSemiMixedTypes="0" containsString="0" containsNumber="1" containsInteger="1" minValue="10000" maxValue="67000"/>
    </cacheField>
    <cacheField name="Revenue" numFmtId="0">
      <sharedItems containsSemiMixedTypes="0" containsString="0" containsNumber="1" containsInteger="1" minValue="50000" maxValue="804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7">
  <r>
    <d v="2024-01-01T00:00:00"/>
    <x v="0"/>
    <s v="Laptop"/>
    <n v="5"/>
    <n v="50000"/>
    <n v="250000"/>
  </r>
  <r>
    <s v="02-01-2024"/>
    <x v="1"/>
    <s v="Phone"/>
    <n v="5"/>
    <n v="10000"/>
    <n v="50000"/>
  </r>
  <r>
    <s v="03-01-2024"/>
    <x v="1"/>
    <s v="Laptop"/>
    <n v="8"/>
    <n v="12000"/>
    <n v="96000"/>
  </r>
  <r>
    <s v="04-01-2024"/>
    <x v="1"/>
    <s v="Laptop"/>
    <n v="8"/>
    <n v="15000"/>
    <n v="120000"/>
  </r>
  <r>
    <s v="05-01-2024"/>
    <x v="1"/>
    <s v="Laptop"/>
    <n v="2"/>
    <n v="50000"/>
    <n v="100000"/>
  </r>
  <r>
    <s v="06-01-2024"/>
    <x v="1"/>
    <s v="Laptop"/>
    <n v="12"/>
    <n v="30000"/>
    <n v="360000"/>
  </r>
  <r>
    <s v="07-01-2024"/>
    <x v="1"/>
    <s v="Laptop"/>
    <n v="3"/>
    <n v="25000"/>
    <n v="75000"/>
  </r>
  <r>
    <s v="08-01-2024"/>
    <x v="0"/>
    <s v="Laptop"/>
    <n v="6"/>
    <n v="55000"/>
    <n v="330000"/>
  </r>
  <r>
    <s v="09-01-2024"/>
    <x v="0"/>
    <s v="Laptop"/>
    <n v="7"/>
    <n v="35000"/>
    <n v="245000"/>
  </r>
  <r>
    <s v="10-01-2024"/>
    <x v="0"/>
    <s v="Phone"/>
    <n v="2"/>
    <n v="45000"/>
    <n v="90000"/>
  </r>
  <r>
    <s v="11-01-2024"/>
    <x v="0"/>
    <s v="Phone"/>
    <n v="4"/>
    <n v="60000"/>
    <n v="240000"/>
  </r>
  <r>
    <s v="12-01-2024"/>
    <x v="0"/>
    <s v="Phone"/>
    <n v="10"/>
    <n v="39000"/>
    <n v="390000"/>
  </r>
  <r>
    <s v="13-01-2024"/>
    <x v="0"/>
    <s v="Phone"/>
    <n v="2"/>
    <n v="42000"/>
    <n v="84000"/>
  </r>
  <r>
    <s v="14-01-2024"/>
    <x v="0"/>
    <s v="Phone"/>
    <n v="12"/>
    <n v="67000"/>
    <n v="804000"/>
  </r>
  <r>
    <s v="15-01-2024"/>
    <x v="0"/>
    <s v="Laptop"/>
    <n v="14"/>
    <n v="50000"/>
    <n v="700000"/>
  </r>
  <r>
    <s v="01-02-2024"/>
    <x v="2"/>
    <s v="Tablet"/>
    <n v="6"/>
    <n v="12000"/>
    <n v="72000"/>
  </r>
  <r>
    <s v="02-02-2024"/>
    <x v="3"/>
    <s v="Tablet"/>
    <n v="4"/>
    <n v="30000"/>
    <n v="120000"/>
  </r>
  <r>
    <s v="03-02-2024"/>
    <x v="3"/>
    <s v="Tablet"/>
    <n v="6"/>
    <n v="23000"/>
    <n v="138000"/>
  </r>
  <r>
    <s v="04-02-2024"/>
    <x v="3"/>
    <s v="Tablet"/>
    <n v="3"/>
    <n v="34000"/>
    <n v="102000"/>
  </r>
  <r>
    <s v="05-02-2024"/>
    <x v="3"/>
    <s v="Tablet"/>
    <n v="3"/>
    <n v="20000"/>
    <n v="60000"/>
  </r>
  <r>
    <s v="06-02-2024"/>
    <x v="3"/>
    <s v="Tablet"/>
    <n v="6"/>
    <n v="60000"/>
    <n v="360000"/>
  </r>
  <r>
    <s v="07-02-2024"/>
    <x v="3"/>
    <s v="Tablet"/>
    <n v="7"/>
    <n v="35000"/>
    <n v="245000"/>
  </r>
  <r>
    <s v="08-02-2024"/>
    <x v="2"/>
    <s v="Monitor"/>
    <n v="5"/>
    <n v="30000"/>
    <n v="150000"/>
  </r>
  <r>
    <s v="09-02-2024"/>
    <x v="2"/>
    <s v="Monitor"/>
    <n v="4"/>
    <n v="55000"/>
    <n v="220000"/>
  </r>
  <r>
    <s v="10-02-2024"/>
    <x v="2"/>
    <s v="Tablet"/>
    <n v="23"/>
    <n v="32000"/>
    <n v="736000"/>
  </r>
  <r>
    <s v="11-02-2024"/>
    <x v="2"/>
    <s v="Monitor"/>
    <n v="3"/>
    <n v="40000"/>
    <n v="120000"/>
  </r>
  <r>
    <s v="12-02-2024"/>
    <x v="3"/>
    <s v="Tablet"/>
    <n v="8"/>
    <n v="48000"/>
    <n v="384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1:B6" firstHeaderRow="1" firstDataRow="1" firstDataCol="1"/>
  <pivotFields count="6">
    <pivotField showAll="0"/>
    <pivotField axis="axisRow" showAll="0">
      <items count="5">
        <item x="0"/>
        <item x="3"/>
        <item x="2"/>
        <item x="1"/>
        <item t="default"/>
      </items>
    </pivotField>
    <pivotField showAll="0"/>
    <pivotField showAll="0"/>
    <pivotField showAll="0"/>
    <pivotField dataField="1" showAll="0"/>
  </pivotFields>
  <rowFields count="1">
    <field x="1"/>
  </rowFields>
  <rowItems count="5">
    <i>
      <x/>
    </i>
    <i>
      <x v="1"/>
    </i>
    <i>
      <x v="2"/>
    </i>
    <i>
      <x v="3"/>
    </i>
    <i t="grand">
      <x/>
    </i>
  </rowItems>
  <colItems count="1">
    <i/>
  </colItems>
  <dataFields count="1">
    <dataField name="Total Revenue" fld="5"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1"/>
  </pivotTables>
  <data>
    <tabular pivotCacheId="1">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s>
</file>

<file path=xl/tables/table1.xml><?xml version="1.0" encoding="utf-8"?>
<table xmlns="http://schemas.openxmlformats.org/spreadsheetml/2006/main" id="1" name="Table1" displayName="Table1" ref="A1:F28" totalsRowShown="0" headerRowDxfId="0">
  <autoFilter ref="A1:F28"/>
  <tableColumns count="6">
    <tableColumn id="1" name="Date"/>
    <tableColumn id="2" name="Region"/>
    <tableColumn id="3" name="Product"/>
    <tableColumn id="4" name="Quantity"/>
    <tableColumn id="5" name="Unit Price"/>
    <tableColumn id="6" name="Revenu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
  <sheetViews>
    <sheetView topLeftCell="A2" workbookViewId="0">
      <selection activeCell="D14" sqref="A2:F28"/>
    </sheetView>
  </sheetViews>
  <sheetFormatPr defaultRowHeight="15" x14ac:dyDescent="0.25"/>
  <cols>
    <col min="1" max="1" width="10.42578125" bestFit="1" customWidth="1"/>
    <col min="2" max="2" width="9.28515625" customWidth="1"/>
    <col min="3" max="3" width="10" customWidth="1"/>
    <col min="4" max="4" width="10.85546875" customWidth="1"/>
    <col min="5" max="5" width="11.85546875" customWidth="1"/>
    <col min="6" max="6" width="11" customWidth="1"/>
  </cols>
  <sheetData>
    <row r="1" spans="1:6" x14ac:dyDescent="0.25">
      <c r="A1" s="1" t="s">
        <v>0</v>
      </c>
      <c r="B1" s="2" t="s">
        <v>1</v>
      </c>
      <c r="C1" s="2" t="s">
        <v>2</v>
      </c>
      <c r="D1" s="3" t="s">
        <v>3</v>
      </c>
      <c r="E1" s="3" t="s">
        <v>4</v>
      </c>
      <c r="F1" s="3" t="s">
        <v>5</v>
      </c>
    </row>
    <row r="2" spans="1:6" x14ac:dyDescent="0.25">
      <c r="A2" s="1">
        <v>45292</v>
      </c>
      <c r="B2" t="s">
        <v>6</v>
      </c>
      <c r="C2" t="s">
        <v>7</v>
      </c>
      <c r="D2">
        <v>5</v>
      </c>
      <c r="E2">
        <v>50000</v>
      </c>
      <c r="F2">
        <v>250000</v>
      </c>
    </row>
    <row r="3" spans="1:6" x14ac:dyDescent="0.25">
      <c r="A3" t="s">
        <v>8</v>
      </c>
      <c r="B3" t="s">
        <v>9</v>
      </c>
      <c r="C3" t="s">
        <v>10</v>
      </c>
      <c r="D3">
        <v>5</v>
      </c>
      <c r="E3">
        <v>10000</v>
      </c>
      <c r="F3">
        <v>50000</v>
      </c>
    </row>
    <row r="4" spans="1:6" x14ac:dyDescent="0.25">
      <c r="A4" t="s">
        <v>11</v>
      </c>
      <c r="B4" t="s">
        <v>9</v>
      </c>
      <c r="C4" t="s">
        <v>7</v>
      </c>
      <c r="D4">
        <v>8</v>
      </c>
      <c r="E4">
        <v>12000</v>
      </c>
      <c r="F4">
        <v>96000</v>
      </c>
    </row>
    <row r="5" spans="1:6" x14ac:dyDescent="0.25">
      <c r="A5" t="s">
        <v>12</v>
      </c>
      <c r="B5" t="s">
        <v>9</v>
      </c>
      <c r="C5" t="s">
        <v>7</v>
      </c>
      <c r="D5">
        <v>8</v>
      </c>
      <c r="E5">
        <v>15000</v>
      </c>
      <c r="F5">
        <v>120000</v>
      </c>
    </row>
    <row r="6" spans="1:6" x14ac:dyDescent="0.25">
      <c r="A6" t="s">
        <v>13</v>
      </c>
      <c r="B6" t="s">
        <v>9</v>
      </c>
      <c r="C6" t="s">
        <v>7</v>
      </c>
      <c r="D6">
        <v>2</v>
      </c>
      <c r="E6">
        <v>50000</v>
      </c>
      <c r="F6">
        <v>100000</v>
      </c>
    </row>
    <row r="7" spans="1:6" x14ac:dyDescent="0.25">
      <c r="A7" t="s">
        <v>14</v>
      </c>
      <c r="B7" t="s">
        <v>9</v>
      </c>
      <c r="C7" t="s">
        <v>7</v>
      </c>
      <c r="D7">
        <v>12</v>
      </c>
      <c r="E7">
        <v>30000</v>
      </c>
      <c r="F7">
        <v>360000</v>
      </c>
    </row>
    <row r="8" spans="1:6" x14ac:dyDescent="0.25">
      <c r="A8" t="s">
        <v>15</v>
      </c>
      <c r="B8" t="s">
        <v>9</v>
      </c>
      <c r="C8" t="s">
        <v>7</v>
      </c>
      <c r="D8">
        <v>3</v>
      </c>
      <c r="E8">
        <v>25000</v>
      </c>
      <c r="F8">
        <v>75000</v>
      </c>
    </row>
    <row r="9" spans="1:6" x14ac:dyDescent="0.25">
      <c r="A9" t="s">
        <v>16</v>
      </c>
      <c r="B9" t="s">
        <v>6</v>
      </c>
      <c r="C9" t="s">
        <v>7</v>
      </c>
      <c r="D9">
        <v>6</v>
      </c>
      <c r="E9">
        <v>55000</v>
      </c>
      <c r="F9">
        <v>330000</v>
      </c>
    </row>
    <row r="10" spans="1:6" x14ac:dyDescent="0.25">
      <c r="A10" t="s">
        <v>17</v>
      </c>
      <c r="B10" t="s">
        <v>6</v>
      </c>
      <c r="C10" t="s">
        <v>7</v>
      </c>
      <c r="D10">
        <v>7</v>
      </c>
      <c r="E10">
        <v>35000</v>
      </c>
      <c r="F10">
        <v>245000</v>
      </c>
    </row>
    <row r="11" spans="1:6" x14ac:dyDescent="0.25">
      <c r="A11" t="s">
        <v>18</v>
      </c>
      <c r="B11" t="s">
        <v>6</v>
      </c>
      <c r="C11" t="s">
        <v>10</v>
      </c>
      <c r="D11">
        <v>2</v>
      </c>
      <c r="E11">
        <v>45000</v>
      </c>
      <c r="F11">
        <v>90000</v>
      </c>
    </row>
    <row r="12" spans="1:6" x14ac:dyDescent="0.25">
      <c r="A12" t="s">
        <v>19</v>
      </c>
      <c r="B12" t="s">
        <v>6</v>
      </c>
      <c r="C12" t="s">
        <v>10</v>
      </c>
      <c r="D12">
        <v>4</v>
      </c>
      <c r="E12">
        <v>60000</v>
      </c>
      <c r="F12">
        <v>240000</v>
      </c>
    </row>
    <row r="13" spans="1:6" x14ac:dyDescent="0.25">
      <c r="A13" t="s">
        <v>20</v>
      </c>
      <c r="B13" t="s">
        <v>6</v>
      </c>
      <c r="C13" t="s">
        <v>10</v>
      </c>
      <c r="D13">
        <v>10</v>
      </c>
      <c r="E13">
        <v>39000</v>
      </c>
      <c r="F13">
        <v>390000</v>
      </c>
    </row>
    <row r="14" spans="1:6" x14ac:dyDescent="0.25">
      <c r="A14" t="s">
        <v>21</v>
      </c>
      <c r="B14" t="s">
        <v>6</v>
      </c>
      <c r="C14" t="s">
        <v>10</v>
      </c>
      <c r="D14">
        <v>2</v>
      </c>
      <c r="E14">
        <v>42000</v>
      </c>
      <c r="F14">
        <v>84000</v>
      </c>
    </row>
    <row r="15" spans="1:6" x14ac:dyDescent="0.25">
      <c r="A15" t="s">
        <v>22</v>
      </c>
      <c r="B15" t="s">
        <v>6</v>
      </c>
      <c r="C15" t="s">
        <v>10</v>
      </c>
      <c r="D15">
        <v>12</v>
      </c>
      <c r="E15">
        <v>67000</v>
      </c>
      <c r="F15">
        <v>804000</v>
      </c>
    </row>
    <row r="16" spans="1:6" x14ac:dyDescent="0.25">
      <c r="A16" t="s">
        <v>23</v>
      </c>
      <c r="B16" t="s">
        <v>6</v>
      </c>
      <c r="C16" t="s">
        <v>7</v>
      </c>
      <c r="D16">
        <v>14</v>
      </c>
      <c r="E16">
        <v>50000</v>
      </c>
      <c r="F16">
        <v>700000</v>
      </c>
    </row>
    <row r="17" spans="1:6" x14ac:dyDescent="0.25">
      <c r="A17" t="s">
        <v>24</v>
      </c>
      <c r="B17" t="s">
        <v>25</v>
      </c>
      <c r="C17" t="s">
        <v>26</v>
      </c>
      <c r="D17">
        <v>6</v>
      </c>
      <c r="E17">
        <v>12000</v>
      </c>
      <c r="F17">
        <v>72000</v>
      </c>
    </row>
    <row r="18" spans="1:6" x14ac:dyDescent="0.25">
      <c r="A18" t="s">
        <v>27</v>
      </c>
      <c r="B18" t="s">
        <v>28</v>
      </c>
      <c r="C18" t="s">
        <v>26</v>
      </c>
      <c r="D18">
        <v>4</v>
      </c>
      <c r="E18">
        <v>30000</v>
      </c>
      <c r="F18">
        <v>120000</v>
      </c>
    </row>
    <row r="19" spans="1:6" x14ac:dyDescent="0.25">
      <c r="A19" t="s">
        <v>29</v>
      </c>
      <c r="B19" t="s">
        <v>28</v>
      </c>
      <c r="C19" t="s">
        <v>26</v>
      </c>
      <c r="D19">
        <v>6</v>
      </c>
      <c r="E19">
        <v>23000</v>
      </c>
      <c r="F19">
        <v>138000</v>
      </c>
    </row>
    <row r="20" spans="1:6" x14ac:dyDescent="0.25">
      <c r="A20" t="s">
        <v>30</v>
      </c>
      <c r="B20" t="s">
        <v>28</v>
      </c>
      <c r="C20" t="s">
        <v>26</v>
      </c>
      <c r="D20">
        <v>3</v>
      </c>
      <c r="E20">
        <v>34000</v>
      </c>
      <c r="F20">
        <v>102000</v>
      </c>
    </row>
    <row r="21" spans="1:6" x14ac:dyDescent="0.25">
      <c r="A21" t="s">
        <v>31</v>
      </c>
      <c r="B21" t="s">
        <v>28</v>
      </c>
      <c r="C21" t="s">
        <v>26</v>
      </c>
      <c r="D21">
        <v>3</v>
      </c>
      <c r="E21">
        <v>20000</v>
      </c>
      <c r="F21">
        <v>60000</v>
      </c>
    </row>
    <row r="22" spans="1:6" x14ac:dyDescent="0.25">
      <c r="A22" t="s">
        <v>32</v>
      </c>
      <c r="B22" t="s">
        <v>28</v>
      </c>
      <c r="C22" t="s">
        <v>26</v>
      </c>
      <c r="D22">
        <v>6</v>
      </c>
      <c r="E22">
        <v>60000</v>
      </c>
      <c r="F22">
        <v>360000</v>
      </c>
    </row>
    <row r="23" spans="1:6" x14ac:dyDescent="0.25">
      <c r="A23" t="s">
        <v>33</v>
      </c>
      <c r="B23" t="s">
        <v>28</v>
      </c>
      <c r="C23" t="s">
        <v>26</v>
      </c>
      <c r="D23">
        <v>7</v>
      </c>
      <c r="E23">
        <v>35000</v>
      </c>
      <c r="F23">
        <v>245000</v>
      </c>
    </row>
    <row r="24" spans="1:6" x14ac:dyDescent="0.25">
      <c r="A24" t="s">
        <v>34</v>
      </c>
      <c r="B24" t="s">
        <v>25</v>
      </c>
      <c r="C24" t="s">
        <v>35</v>
      </c>
      <c r="D24">
        <v>5</v>
      </c>
      <c r="E24">
        <v>30000</v>
      </c>
      <c r="F24">
        <v>150000</v>
      </c>
    </row>
    <row r="25" spans="1:6" x14ac:dyDescent="0.25">
      <c r="A25" t="s">
        <v>36</v>
      </c>
      <c r="B25" t="s">
        <v>25</v>
      </c>
      <c r="C25" t="s">
        <v>35</v>
      </c>
      <c r="D25">
        <v>4</v>
      </c>
      <c r="E25">
        <v>55000</v>
      </c>
      <c r="F25">
        <v>220000</v>
      </c>
    </row>
    <row r="26" spans="1:6" x14ac:dyDescent="0.25">
      <c r="A26" t="s">
        <v>37</v>
      </c>
      <c r="B26" t="s">
        <v>25</v>
      </c>
      <c r="C26" t="s">
        <v>26</v>
      </c>
      <c r="D26">
        <v>23</v>
      </c>
      <c r="E26">
        <v>32000</v>
      </c>
      <c r="F26">
        <v>736000</v>
      </c>
    </row>
    <row r="27" spans="1:6" x14ac:dyDescent="0.25">
      <c r="A27" t="s">
        <v>38</v>
      </c>
      <c r="B27" t="s">
        <v>25</v>
      </c>
      <c r="C27" t="s">
        <v>35</v>
      </c>
      <c r="D27">
        <v>3</v>
      </c>
      <c r="E27">
        <v>40000</v>
      </c>
      <c r="F27">
        <v>120000</v>
      </c>
    </row>
    <row r="28" spans="1:6" x14ac:dyDescent="0.25">
      <c r="A28" t="s">
        <v>39</v>
      </c>
      <c r="B28" t="s">
        <v>28</v>
      </c>
      <c r="C28" t="s">
        <v>26</v>
      </c>
      <c r="D28">
        <v>8</v>
      </c>
      <c r="E28">
        <v>48000</v>
      </c>
      <c r="F28">
        <v>384000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tabSelected="1" workbookViewId="0">
      <selection activeCell="I22" sqref="I22"/>
    </sheetView>
  </sheetViews>
  <sheetFormatPr defaultRowHeight="15" x14ac:dyDescent="0.25"/>
  <cols>
    <col min="1" max="1" width="17.28515625" customWidth="1"/>
    <col min="2" max="2" width="13.28515625" customWidth="1"/>
    <col min="4" max="4" width="13.140625" bestFit="1" customWidth="1"/>
    <col min="5" max="5" width="13.85546875" customWidth="1"/>
  </cols>
  <sheetData>
    <row r="1" spans="1:2" x14ac:dyDescent="0.25">
      <c r="A1" s="8" t="s">
        <v>40</v>
      </c>
      <c r="B1" s="9"/>
    </row>
    <row r="2" spans="1:2" x14ac:dyDescent="0.25">
      <c r="A2" s="9"/>
      <c r="B2" s="9"/>
    </row>
    <row r="3" spans="1:2" x14ac:dyDescent="0.25">
      <c r="A3" t="s">
        <v>40</v>
      </c>
      <c r="B3" t="s">
        <v>41</v>
      </c>
    </row>
    <row r="4" spans="1:2" x14ac:dyDescent="0.25">
      <c r="A4" t="s">
        <v>42</v>
      </c>
      <c r="B4">
        <f>SUM(Sales_Data!F2:F28)</f>
        <v>6641000</v>
      </c>
    </row>
    <row r="5" spans="1:2" x14ac:dyDescent="0.25">
      <c r="A5" t="s">
        <v>43</v>
      </c>
      <c r="B5">
        <f>COUNTA(Sales_Data!A2:A28)</f>
        <v>27</v>
      </c>
    </row>
    <row r="6" spans="1:2" x14ac:dyDescent="0.25">
      <c r="A6" t="s">
        <v>44</v>
      </c>
      <c r="B6">
        <f>SUM(Sales_Data!D2:D28)</f>
        <v>178</v>
      </c>
    </row>
    <row r="7" spans="1:2" x14ac:dyDescent="0.25">
      <c r="A7" t="s">
        <v>45</v>
      </c>
      <c r="B7" s="4">
        <f>AVERAGE(Sales_Data!F2:F28)</f>
        <v>245962.96296296295</v>
      </c>
    </row>
  </sheetData>
  <mergeCells count="1">
    <mergeCell ref="A1:B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sqref="A1:B6"/>
    </sheetView>
  </sheetViews>
  <sheetFormatPr defaultRowHeight="15" x14ac:dyDescent="0.25"/>
  <cols>
    <col min="1" max="1" width="13.140625" bestFit="1" customWidth="1"/>
    <col min="2" max="2" width="13.85546875" bestFit="1" customWidth="1"/>
  </cols>
  <sheetData>
    <row r="1" spans="1:2" x14ac:dyDescent="0.25">
      <c r="A1" s="5" t="s">
        <v>46</v>
      </c>
      <c r="B1" t="s">
        <v>42</v>
      </c>
    </row>
    <row r="2" spans="1:2" x14ac:dyDescent="0.25">
      <c r="A2" s="6" t="s">
        <v>6</v>
      </c>
      <c r="B2" s="7">
        <v>3133000</v>
      </c>
    </row>
    <row r="3" spans="1:2" x14ac:dyDescent="0.25">
      <c r="A3" s="6" t="s">
        <v>28</v>
      </c>
      <c r="B3" s="7">
        <v>1409000</v>
      </c>
    </row>
    <row r="4" spans="1:2" x14ac:dyDescent="0.25">
      <c r="A4" s="6" t="s">
        <v>25</v>
      </c>
      <c r="B4" s="7">
        <v>1298000</v>
      </c>
    </row>
    <row r="5" spans="1:2" x14ac:dyDescent="0.25">
      <c r="A5" s="6" t="s">
        <v>9</v>
      </c>
      <c r="B5" s="7">
        <v>801000</v>
      </c>
    </row>
    <row r="6" spans="1:2" x14ac:dyDescent="0.25">
      <c r="A6" s="6" t="s">
        <v>47</v>
      </c>
      <c r="B6" s="7">
        <v>6641000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Dashboard</vt:lpstr>
      <vt:lpstr>Sheet2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2026-03-15T09:10:09Z</dcterms:created>
  <dcterms:modified xsi:type="dcterms:W3CDTF">2026-03-15T13:54:24Z</dcterms:modified>
</cp:coreProperties>
</file>