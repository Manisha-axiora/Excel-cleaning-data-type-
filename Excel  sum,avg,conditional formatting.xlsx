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I1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<sst xmlns="http://schemas.openxmlformats.org/spreadsheetml/2006/main" count="23" uniqueCount="22">
  <si>
    <t>Roll No</t>
  </si>
  <si>
    <t>Student Name</t>
  </si>
  <si>
    <t>Ram</t>
  </si>
  <si>
    <t>Ashok</t>
  </si>
  <si>
    <t>Manoj</t>
  </si>
  <si>
    <t>Rajesh</t>
  </si>
  <si>
    <t>Ranjana</t>
  </si>
  <si>
    <t>Pooja</t>
  </si>
  <si>
    <t>Mahesh</t>
  </si>
  <si>
    <t>Ashutosh</t>
  </si>
  <si>
    <t>Anil</t>
  </si>
  <si>
    <t>Rima</t>
  </si>
  <si>
    <t>Hindi</t>
  </si>
  <si>
    <t>English</t>
  </si>
  <si>
    <t>Math</t>
  </si>
  <si>
    <t>Physics</t>
  </si>
  <si>
    <t>Chemistry</t>
  </si>
  <si>
    <t>Total(Sum)</t>
  </si>
  <si>
    <t>Average</t>
  </si>
  <si>
    <t>Grade(If)</t>
  </si>
  <si>
    <t>Count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</si>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</sst>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K11" sqref="K11"/>
    </sheetView>
  </sheetViews>
  <sheetFormatPr defaultRowHeight="15" x14ac:dyDescent="0.25"/>
  <cols>
    <col min="2" max="2" width="18.140625" customWidth="1"/>
    <col min="8" max="8" width="11.7109375" customWidth="1"/>
    <col min="9" max="9" width="17.42578125" customWidth="1"/>
    <col min="10" max="10" width="15.85546875" customWidth="1"/>
    <col min="11" max="11" width="12.42578125" customWidth="1"/>
    <col min="12" max="12" width="19.140625" customWidth="1"/>
  </cols>
  <sheetData>
    <row r="1" spans="1:12" s="1" customFormat="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4" t="s">
        <v>17</v>
      </c>
      <c r="I1" s="4" t="s">
        <v>18</v>
      </c>
      <c r="J1" s="4" t="s">
        <v>19</v>
      </c>
      <c r="K1" s="4"/>
      <c r="L1" s="4" t="s">
        <v>21</v>
      </c>
    </row>
    <row r="2" spans="1:12" x14ac:dyDescent="0.25">
      <c r="A2">
        <v>1</v>
      </c>
      <c r="B2" t="s">
        <v>2</v>
      </c>
      <c r="C2">
        <v>20</v>
      </c>
      <c r="D2">
        <v>10</v>
      </c>
      <c r="E2">
        <v>14</v>
      </c>
      <c r="F2">
        <v>18</v>
      </c>
      <c r="G2">
        <v>15</v>
      </c>
      <c r="H2">
        <f>SUM(C2:G2)</f>
        <v>77</v>
      </c>
      <c r="I2">
        <f>AVERAGE(C2:C2:G2)</f>
        <v>15.4</v>
      </c>
      <c r="J2" t="str">
        <f>IF(I2&gt;15,"A","B")</f>
        <v>A</v>
      </c>
      <c r="K2" s="2"/>
      <c r="L2" s="2"/>
    </row>
    <row r="3" spans="1:12" x14ac:dyDescent="0.25">
      <c r="A3">
        <v>2</v>
      </c>
      <c r="B3" t="s">
        <v>3</v>
      </c>
      <c r="C3">
        <v>21</v>
      </c>
      <c r="D3">
        <v>12</v>
      </c>
      <c r="E3">
        <v>14</v>
      </c>
      <c r="F3">
        <v>12</v>
      </c>
      <c r="G3">
        <v>18</v>
      </c>
      <c r="H3">
        <f t="shared" ref="H3:H11" si="0">SUM(C3:G3)</f>
        <v>77</v>
      </c>
      <c r="I3">
        <f>AVERAGE(C3:C3:G3)</f>
        <v>15.4</v>
      </c>
      <c r="J3" t="str">
        <f t="shared" ref="J3:J11" si="1">IF(I3&gt;15,"A","B")</f>
        <v>A</v>
      </c>
      <c r="K3" s="2" t="s">
        <v>7</v>
      </c>
      <c r="L3" s="2">
        <f>SUMIF(B2:B11,K3,H2:H11)</f>
        <v>76</v>
      </c>
    </row>
    <row r="4" spans="1:12" x14ac:dyDescent="0.25">
      <c r="A4">
        <v>3</v>
      </c>
      <c r="B4" t="s">
        <v>4</v>
      </c>
      <c r="C4">
        <v>33</v>
      </c>
      <c r="D4">
        <v>15</v>
      </c>
      <c r="E4">
        <v>7</v>
      </c>
      <c r="F4">
        <v>14</v>
      </c>
      <c r="G4">
        <v>17</v>
      </c>
      <c r="H4">
        <f t="shared" si="0"/>
        <v>86</v>
      </c>
      <c r="I4">
        <f>AVERAGE(C4:C4:G4)</f>
        <v>17.2</v>
      </c>
      <c r="J4" t="str">
        <f t="shared" si="1"/>
        <v>A</v>
      </c>
    </row>
    <row r="5" spans="1:12" x14ac:dyDescent="0.25">
      <c r="A5">
        <v>4</v>
      </c>
      <c r="B5" t="s">
        <v>5</v>
      </c>
      <c r="C5">
        <v>15</v>
      </c>
      <c r="D5">
        <v>14</v>
      </c>
      <c r="E5">
        <v>8</v>
      </c>
      <c r="F5">
        <v>16</v>
      </c>
      <c r="G5">
        <v>20</v>
      </c>
      <c r="H5">
        <f t="shared" si="0"/>
        <v>73</v>
      </c>
      <c r="I5">
        <f>AVERAGE(C5:C5:G5)</f>
        <v>14.6</v>
      </c>
      <c r="J5" t="str">
        <f t="shared" si="1"/>
        <v>B</v>
      </c>
    </row>
    <row r="6" spans="1:12" x14ac:dyDescent="0.25">
      <c r="A6">
        <v>5</v>
      </c>
      <c r="B6" t="s">
        <v>6</v>
      </c>
      <c r="C6">
        <v>14</v>
      </c>
      <c r="D6">
        <v>17</v>
      </c>
      <c r="E6">
        <v>10</v>
      </c>
      <c r="F6">
        <v>13</v>
      </c>
      <c r="G6">
        <v>18</v>
      </c>
      <c r="H6">
        <f t="shared" si="0"/>
        <v>72</v>
      </c>
      <c r="I6">
        <f>AVERAGE(C6:C6:G6)</f>
        <v>14.4</v>
      </c>
      <c r="J6" t="str">
        <f t="shared" si="1"/>
        <v>B</v>
      </c>
    </row>
    <row r="7" spans="1:12" x14ac:dyDescent="0.25">
      <c r="A7">
        <v>6</v>
      </c>
      <c r="B7" t="s">
        <v>7</v>
      </c>
      <c r="C7">
        <v>16</v>
      </c>
      <c r="D7">
        <v>8</v>
      </c>
      <c r="E7">
        <v>20</v>
      </c>
      <c r="F7">
        <v>17</v>
      </c>
      <c r="G7">
        <v>15</v>
      </c>
      <c r="H7">
        <f t="shared" si="0"/>
        <v>76</v>
      </c>
      <c r="I7">
        <f>AVERAGE(C7:C7:G7)</f>
        <v>15.2</v>
      </c>
      <c r="J7" t="str">
        <f t="shared" si="1"/>
        <v>A</v>
      </c>
    </row>
    <row r="8" spans="1:12" x14ac:dyDescent="0.25">
      <c r="A8">
        <v>7</v>
      </c>
      <c r="B8" t="s">
        <v>8</v>
      </c>
      <c r="C8">
        <v>18</v>
      </c>
      <c r="D8">
        <v>19</v>
      </c>
      <c r="E8">
        <v>3</v>
      </c>
      <c r="F8">
        <v>10</v>
      </c>
      <c r="G8">
        <v>14</v>
      </c>
      <c r="H8">
        <f t="shared" si="0"/>
        <v>64</v>
      </c>
      <c r="I8">
        <f>AVERAGE(C8:C8:G8)</f>
        <v>12.8</v>
      </c>
      <c r="J8" t="str">
        <f t="shared" si="1"/>
        <v>B</v>
      </c>
    </row>
    <row r="9" spans="1:12" x14ac:dyDescent="0.25">
      <c r="A9">
        <v>8</v>
      </c>
      <c r="B9" t="s">
        <v>9</v>
      </c>
      <c r="C9">
        <v>19</v>
      </c>
      <c r="D9">
        <v>20</v>
      </c>
      <c r="E9">
        <v>7</v>
      </c>
      <c r="F9">
        <v>14</v>
      </c>
      <c r="G9">
        <v>18</v>
      </c>
      <c r="H9">
        <f t="shared" si="0"/>
        <v>78</v>
      </c>
      <c r="I9">
        <f>AVERAGE(C9:C9:G9)</f>
        <v>15.6</v>
      </c>
      <c r="J9" t="str">
        <f t="shared" si="1"/>
        <v>A</v>
      </c>
    </row>
    <row r="10" spans="1:12" x14ac:dyDescent="0.25">
      <c r="A10">
        <v>9</v>
      </c>
      <c r="B10" t="s">
        <v>10</v>
      </c>
      <c r="C10">
        <v>22</v>
      </c>
      <c r="D10">
        <v>13</v>
      </c>
      <c r="E10">
        <v>8</v>
      </c>
      <c r="F10">
        <v>12</v>
      </c>
      <c r="G10">
        <v>19</v>
      </c>
      <c r="H10">
        <f t="shared" si="0"/>
        <v>74</v>
      </c>
      <c r="I10">
        <f>AVERAGE(C10:C10:G10)</f>
        <v>14.8</v>
      </c>
      <c r="J10" t="str">
        <f t="shared" si="1"/>
        <v>B</v>
      </c>
    </row>
    <row r="11" spans="1:12" x14ac:dyDescent="0.25">
      <c r="A11">
        <v>10</v>
      </c>
      <c r="B11" t="s">
        <v>11</v>
      </c>
      <c r="C11">
        <v>26</v>
      </c>
      <c r="D11">
        <v>12</v>
      </c>
      <c r="E11">
        <v>10</v>
      </c>
      <c r="F11">
        <v>11</v>
      </c>
      <c r="G11">
        <v>27</v>
      </c>
      <c r="H11">
        <f t="shared" si="0"/>
        <v>86</v>
      </c>
      <c r="I11">
        <f>AVERAGE(C11:C11:G11)</f>
        <v>17.2</v>
      </c>
      <c r="J11" t="str">
        <f t="shared" si="1"/>
        <v>A</v>
      </c>
    </row>
    <row r="12" spans="1:12" ht="15.75" x14ac:dyDescent="0.25">
      <c r="H12" s="3" t="s">
        <v>20</v>
      </c>
      <c r="I12" s="2">
        <f>COUNT(I2:I11)</f>
        <v>10</v>
      </c>
    </row>
  </sheetData>
  <conditionalFormatting sqref="A1:G1">
    <cfRule type="uniqueValues" dxfId="4" priority="3"/>
  </conditionalFormatting>
  <conditionalFormatting sqref="C1:G11">
    <cfRule type="cellIs" dxfId="3" priority="2" operator="lessThan">
      <formula>10</formula>
    </cfRule>
  </conditionalFormatting>
  <conditionalFormatting sqref="C2:G11">
    <cfRule type="cellIs" dxfId="0" priority="1" operator="greaterThan">
      <formula>10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2026-03-10T16:35:41Z</dcterms:created>
  <dcterms:modified xsi:type="dcterms:W3CDTF">2026-03-10T17:44:43Z</dcterms:modified>
</cp:coreProperties>
</file>