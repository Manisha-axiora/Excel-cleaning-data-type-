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9045"/>
  </bookViews>
  <sheets>
    <sheet name="Pivot And Dashboard" sheetId="4" r:id="rId1"/>
    <sheet name="Sales_Data" sheetId="1" r:id="rId2"/>
  </sheets>
  <definedNames>
    <definedName name="Slicer_Product">#N/A</definedName>
    <definedName name="Slicer_Region">#N/A</definedName>
    <definedName name="Slicer_Salesperson">#N/A</definedName>
  </definedNames>
  <calcPr calcId="152511"/>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5" i="4" l="1"/>
  <c r="N5" i="4"/>
  <c r="J5" i="4"/>
  <c r="H5" i="4"/>
</calcChain>
</file>

<file path=xl/sharedStrings.xml><?xml version="1.0" encoding="utf-8"?>
<sst xmlns="http://schemas.openxmlformats.org/spreadsheetml/2006/main" count="2057" uniqueCount="198">
  <si>
    <t>Date</t>
  </si>
  <si>
    <t>Region</t>
  </si>
  <si>
    <t>Product</t>
  </si>
  <si>
    <t>Salesperson</t>
  </si>
  <si>
    <t>Units_Sold</t>
  </si>
  <si>
    <t>Revenue</t>
  </si>
  <si>
    <t>Cost</t>
  </si>
  <si>
    <t>2025-01-10</t>
  </si>
  <si>
    <t>West</t>
  </si>
  <si>
    <t>Accessory</t>
  </si>
  <si>
    <t>Vikas</t>
  </si>
  <si>
    <t>2025-06-05</t>
  </si>
  <si>
    <t>South</t>
  </si>
  <si>
    <t>Laptop</t>
  </si>
  <si>
    <t>Rahul</t>
  </si>
  <si>
    <t>2025-01-22</t>
  </si>
  <si>
    <t>Mobile</t>
  </si>
  <si>
    <t>2025-03-05</t>
  </si>
  <si>
    <t>Amit</t>
  </si>
  <si>
    <t>2025-02-04</t>
  </si>
  <si>
    <t>East</t>
  </si>
  <si>
    <t>2025-02-11</t>
  </si>
  <si>
    <t>Sneha</t>
  </si>
  <si>
    <t>2025-06-17</t>
  </si>
  <si>
    <t>2025-03-18</t>
  </si>
  <si>
    <t>Tablet</t>
  </si>
  <si>
    <t>2025-05-14</t>
  </si>
  <si>
    <t>2025-03-01</t>
  </si>
  <si>
    <t>2025-05-06</t>
  </si>
  <si>
    <t>2025-05-04</t>
  </si>
  <si>
    <t>North</t>
  </si>
  <si>
    <t>2025-01-16</t>
  </si>
  <si>
    <t>2025-04-02</t>
  </si>
  <si>
    <t>Priya</t>
  </si>
  <si>
    <t>2025-03-27</t>
  </si>
  <si>
    <t>2025-06-13</t>
  </si>
  <si>
    <t>2025-01-17</t>
  </si>
  <si>
    <t>2025-03-20</t>
  </si>
  <si>
    <t>2025-01-31</t>
  </si>
  <si>
    <t>Neha</t>
  </si>
  <si>
    <t>2025-05-29</t>
  </si>
  <si>
    <t>2025-03-14</t>
  </si>
  <si>
    <t>2025-01-19</t>
  </si>
  <si>
    <t>2025-04-28</t>
  </si>
  <si>
    <t>2025-04-27</t>
  </si>
  <si>
    <t>2025-03-22</t>
  </si>
  <si>
    <t>2025-04-29</t>
  </si>
  <si>
    <t>2025-02-15</t>
  </si>
  <si>
    <t>2025-06-14</t>
  </si>
  <si>
    <t>2025-05-11</t>
  </si>
  <si>
    <t>2025-06-22</t>
  </si>
  <si>
    <t>2025-05-12</t>
  </si>
  <si>
    <t>2025-04-11</t>
  </si>
  <si>
    <t>2025-01-28</t>
  </si>
  <si>
    <t>2025-01-11</t>
  </si>
  <si>
    <t>2025-02-14</t>
  </si>
  <si>
    <t>2025-02-17</t>
  </si>
  <si>
    <t>2025-06-27</t>
  </si>
  <si>
    <t>2025-06-04</t>
  </si>
  <si>
    <t>2025-02-24</t>
  </si>
  <si>
    <t>2025-06-09</t>
  </si>
  <si>
    <t>2025-02-25</t>
  </si>
  <si>
    <t>2025-03-26</t>
  </si>
  <si>
    <t>2025-03-13</t>
  </si>
  <si>
    <t>2025-01-08</t>
  </si>
  <si>
    <t>2025-02-05</t>
  </si>
  <si>
    <t>2025-05-07</t>
  </si>
  <si>
    <t>2025-01-18</t>
  </si>
  <si>
    <t>2025-04-10</t>
  </si>
  <si>
    <t>2025-01-23</t>
  </si>
  <si>
    <t>2025-02-02</t>
  </si>
  <si>
    <t>2025-04-09</t>
  </si>
  <si>
    <t>2025-02-13</t>
  </si>
  <si>
    <t>2025-05-17</t>
  </si>
  <si>
    <t>2025-05-26</t>
  </si>
  <si>
    <t>2025-05-28</t>
  </si>
  <si>
    <t>2025-05-15</t>
  </si>
  <si>
    <t>2025-06-25</t>
  </si>
  <si>
    <t>2025-04-24</t>
  </si>
  <si>
    <t>2025-01-24</t>
  </si>
  <si>
    <t>2025-06-24</t>
  </si>
  <si>
    <t>2025-02-27</t>
  </si>
  <si>
    <t>2025-04-15</t>
  </si>
  <si>
    <t>2025-01-02</t>
  </si>
  <si>
    <t>2025-05-23</t>
  </si>
  <si>
    <t>2025-04-08</t>
  </si>
  <si>
    <t>2025-02-08</t>
  </si>
  <si>
    <t>2025-04-20</t>
  </si>
  <si>
    <t>2025-03-06</t>
  </si>
  <si>
    <t>2025-03-09</t>
  </si>
  <si>
    <t>2025-02-12</t>
  </si>
  <si>
    <t>2025-05-13</t>
  </si>
  <si>
    <t>2025-02-20</t>
  </si>
  <si>
    <t>2025-06-15</t>
  </si>
  <si>
    <t>2025-06-30</t>
  </si>
  <si>
    <t>2025-01-15</t>
  </si>
  <si>
    <t>2025-05-22</t>
  </si>
  <si>
    <t>2025-03-15</t>
  </si>
  <si>
    <t>2025-02-01</t>
  </si>
  <si>
    <t>2025-04-06</t>
  </si>
  <si>
    <t>2025-03-24</t>
  </si>
  <si>
    <t>2025-03-31</t>
  </si>
  <si>
    <t>2025-03-08</t>
  </si>
  <si>
    <t>2025-03-16</t>
  </si>
  <si>
    <t>2025-01-03</t>
  </si>
  <si>
    <t>2025-01-04</t>
  </si>
  <si>
    <t>2025-03-25</t>
  </si>
  <si>
    <t>2025-03-03</t>
  </si>
  <si>
    <t>2025-06-23</t>
  </si>
  <si>
    <t>2025-05-18</t>
  </si>
  <si>
    <t>2025-04-04</t>
  </si>
  <si>
    <t>2025-05-20</t>
  </si>
  <si>
    <t>2025-05-30</t>
  </si>
  <si>
    <t>2025-06-19</t>
  </si>
  <si>
    <t>2025-06-20</t>
  </si>
  <si>
    <t>2025-03-02</t>
  </si>
  <si>
    <t>2025-03-17</t>
  </si>
  <si>
    <t>2025-03-11</t>
  </si>
  <si>
    <t>2025-03-21</t>
  </si>
  <si>
    <t>2025-05-09</t>
  </si>
  <si>
    <t>2025-04-22</t>
  </si>
  <si>
    <t>2025-01-26</t>
  </si>
  <si>
    <t>2025-01-12</t>
  </si>
  <si>
    <t>2025-04-26</t>
  </si>
  <si>
    <t>2025-05-10</t>
  </si>
  <si>
    <t>2025-05-02</t>
  </si>
  <si>
    <t>2025-02-16</t>
  </si>
  <si>
    <t>2025-04-19</t>
  </si>
  <si>
    <t>2025-03-23</t>
  </si>
  <si>
    <t>2025-05-08</t>
  </si>
  <si>
    <t>2025-06-16</t>
  </si>
  <si>
    <t>2025-03-10</t>
  </si>
  <si>
    <t>2025-06-29</t>
  </si>
  <si>
    <t>2025-06-06</t>
  </si>
  <si>
    <t>2025-02-09</t>
  </si>
  <si>
    <t>2025-05-31</t>
  </si>
  <si>
    <t>2025-05-01</t>
  </si>
  <si>
    <t>2025-01-21</t>
  </si>
  <si>
    <t>2025-01-30</t>
  </si>
  <si>
    <t>2025-03-29</t>
  </si>
  <si>
    <t>2025-06-01</t>
  </si>
  <si>
    <t>2025-03-19</t>
  </si>
  <si>
    <t>2025-01-29</t>
  </si>
  <si>
    <t>2025-01-06</t>
  </si>
  <si>
    <t>2025-01-14</t>
  </si>
  <si>
    <t>2025-01-27</t>
  </si>
  <si>
    <t>2025-04-14</t>
  </si>
  <si>
    <t>2025-06-03</t>
  </si>
  <si>
    <t>2025-06-26</t>
  </si>
  <si>
    <t>2025-02-26</t>
  </si>
  <si>
    <t>2025-05-19</t>
  </si>
  <si>
    <t>2025-01-07</t>
  </si>
  <si>
    <t>2025-01-20</t>
  </si>
  <si>
    <t>2025-06-02</t>
  </si>
  <si>
    <t>2025-02-07</t>
  </si>
  <si>
    <t>2025-04-03</t>
  </si>
  <si>
    <t>2025-05-03</t>
  </si>
  <si>
    <t>2025-04-23</t>
  </si>
  <si>
    <t>2025-02-22</t>
  </si>
  <si>
    <t>2025-05-05</t>
  </si>
  <si>
    <t>2025-06-07</t>
  </si>
  <si>
    <t>2025-05-21</t>
  </si>
  <si>
    <t>2025-01-25</t>
  </si>
  <si>
    <t>2025-06-10</t>
  </si>
  <si>
    <t>2025-06-21</t>
  </si>
  <si>
    <t>2025-02-21</t>
  </si>
  <si>
    <t>2025-02-10</t>
  </si>
  <si>
    <t>2025-01-13</t>
  </si>
  <si>
    <t>2025-05-16</t>
  </si>
  <si>
    <t>2025-02-19</t>
  </si>
  <si>
    <t>2025-02-06</t>
  </si>
  <si>
    <t>2025-03-30</t>
  </si>
  <si>
    <t>2025-06-18</t>
  </si>
  <si>
    <t>2025-04-17</t>
  </si>
  <si>
    <t>2025-04-01</t>
  </si>
  <si>
    <t>2025-02-18</t>
  </si>
  <si>
    <t>2025-04-25</t>
  </si>
  <si>
    <t>2025-04-16</t>
  </si>
  <si>
    <t>2025-06-11</t>
  </si>
  <si>
    <t>2025-01-05</t>
  </si>
  <si>
    <t>2025-04-05</t>
  </si>
  <si>
    <t>2025-04-18</t>
  </si>
  <si>
    <t>2025-01-09</t>
  </si>
  <si>
    <t>2025-06-12</t>
  </si>
  <si>
    <t>2025-05-27</t>
  </si>
  <si>
    <t>2025-04-30</t>
  </si>
  <si>
    <t>2025-04-07</t>
  </si>
  <si>
    <t>2025-01-01</t>
  </si>
  <si>
    <t>2025-03-12</t>
  </si>
  <si>
    <t>Row Labels</t>
  </si>
  <si>
    <t>Grand Total</t>
  </si>
  <si>
    <t>Sum of Revenue</t>
  </si>
  <si>
    <t>Sum of Units_Sold</t>
  </si>
  <si>
    <t>Total Revenue</t>
  </si>
  <si>
    <t>Total Order</t>
  </si>
  <si>
    <t>Average Revenue</t>
  </si>
  <si>
    <t>Total Unit Sold</t>
  </si>
  <si>
    <t>Sale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</si>
</sst>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1" xfId="0" applyFill="1" applyBorder="1" applyAlignment="1">
      <alignment horizontal="center"/>
    </xf>
    <xf numFmtId="0" fontId="0" fillId="3" borderId="1" xfId="0" applyNumberFormat="1" applyFill="1" applyBorder="1" applyAlignment="1">
      <alignment horizontal="center"/>
    </xf>
    <xf numFmtId="0" fontId="0" fillId="3" borderId="2" xfId="0" applyNumberFormat="1" applyFill="1" applyBorder="1" applyAlignment="1">
      <alignment horizontal="center"/>
    </xf>
    <xf numFmtId="0" fontId="0" fillId="2" borderId="2" xfId="0" applyFill="1" applyBorder="1" applyAlignment="1">
      <alignment horizontal="center"/>
    </xf>
    <xf numFmtId="0" fontId="0" fillId="4" borderId="1" xfId="0" applyFill="1" applyBorder="1" applyAlignment="1">
      <alignment horizontal="center"/>
    </xf>
    <xf numFmtId="1" fontId="0" fillId="4" borderId="2" xfId="0" applyNumberFormat="1" applyFill="1" applyBorder="1" applyAlignment="1">
      <alignment horizontal="center"/>
    </xf>
    <xf numFmtId="0" fontId="0" fillId="5" borderId="1" xfId="0" applyFill="1" applyBorder="1"/>
    <xf numFmtId="0" fontId="0" fillId="5" borderId="2" xfId="0" applyFill="1" applyBorder="1"/>
    <xf numFmtId="0" fontId="1"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[mini_sales_dashboard_practice.xlsx]Pivot And Dashboard!PivotTable7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Region</a:t>
            </a:r>
            <a:r>
              <a:rPr lang="en-IN" sz="1050" baseline="0"/>
              <a:t> By Revenue</a:t>
            </a:r>
            <a:r>
              <a:rPr lang="en-IN" sz="1050"/>
              <a:t>l</a:t>
            </a:r>
          </a:p>
        </c:rich>
      </c:tx>
      <c:layout>
        <c:manualLayout>
          <c:xMode val="edge"/>
          <c:yMode val="edge"/>
          <c:x val="0.35928807547705188"/>
          <c:y val="5.795275590551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And Dashboard'!$E$13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And Dashboard'!$D$14:$D$18</c:f>
              <c:strCache>
                <c:ptCount val="4"/>
                <c:pt idx="0">
                  <c:v>East</c:v>
                </c:pt>
                <c:pt idx="1">
                  <c:v>North</c:v>
                </c:pt>
                <c:pt idx="2">
                  <c:v>South</c:v>
                </c:pt>
                <c:pt idx="3">
                  <c:v>West</c:v>
                </c:pt>
              </c:strCache>
            </c:strRef>
          </c:cat>
          <c:val>
            <c:numRef>
              <c:f>'Pivot And Dashboard'!$E$14:$E$18</c:f>
              <c:numCache>
                <c:formatCode>General</c:formatCode>
                <c:ptCount val="4"/>
                <c:pt idx="0">
                  <c:v>1113865</c:v>
                </c:pt>
                <c:pt idx="1">
                  <c:v>1300776</c:v>
                </c:pt>
                <c:pt idx="2">
                  <c:v>1077225</c:v>
                </c:pt>
                <c:pt idx="3">
                  <c:v>1261442</c:v>
                </c:pt>
              </c:numCache>
            </c:numRef>
          </c:val>
        </c:ser>
        <c:dLbls>
          <c:dLblPos val="outEnd"/>
          <c:showLegendKey val="0"/>
          <c:showVal val="1"/>
          <c:showCatName val="0"/>
          <c:showSerName val="0"/>
          <c:showPercent val="0"/>
          <c:showBubbleSize val="0"/>
        </c:dLbls>
        <c:gapWidth val="219"/>
        <c:overlap val="-27"/>
        <c:axId val="-1779918368"/>
        <c:axId val="-1779923808"/>
      </c:barChart>
      <c:catAx>
        <c:axId val="-177991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923808"/>
        <c:crosses val="autoZero"/>
        <c:auto val="1"/>
        <c:lblAlgn val="ctr"/>
        <c:lblOffset val="100"/>
        <c:noMultiLvlLbl val="0"/>
      </c:catAx>
      <c:valAx>
        <c:axId val="-177992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91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[mini_sales_dashboard_practice.xlsx]Pivot And Dashboard!PivotTable8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Product</a:t>
            </a:r>
            <a:r>
              <a:rPr lang="en-US" sz="1050" baseline="0"/>
              <a:t> by Revenue</a:t>
            </a:r>
            <a:endParaRPr lang="en-US" sz="1050"/>
          </a:p>
        </c:rich>
      </c:tx>
      <c:layout>
        <c:manualLayout>
          <c:xMode val="edge"/>
          <c:yMode val="edge"/>
          <c:x val="0.35145236733676449"/>
          <c:y val="5.84377484195783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And Dashboard'!$B$21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And Dashboard'!$A$22:$A$26</c:f>
              <c:strCache>
                <c:ptCount val="4"/>
                <c:pt idx="0">
                  <c:v>Accessory</c:v>
                </c:pt>
                <c:pt idx="1">
                  <c:v>Laptop</c:v>
                </c:pt>
                <c:pt idx="2">
                  <c:v>Mobile</c:v>
                </c:pt>
                <c:pt idx="3">
                  <c:v>Tablet</c:v>
                </c:pt>
              </c:strCache>
            </c:strRef>
          </c:cat>
          <c:val>
            <c:numRef>
              <c:f>'Pivot And Dashboard'!$B$22:$B$26</c:f>
              <c:numCache>
                <c:formatCode>General</c:formatCode>
                <c:ptCount val="4"/>
                <c:pt idx="0">
                  <c:v>1172202</c:v>
                </c:pt>
                <c:pt idx="1">
                  <c:v>1245594</c:v>
                </c:pt>
                <c:pt idx="2">
                  <c:v>1166792</c:v>
                </c:pt>
                <c:pt idx="3">
                  <c:v>1168720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[mini_sales_dashboard_practice.xlsx]Pivot And Dashboard!PivotTable9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Salesperson</a:t>
            </a:r>
            <a:r>
              <a:rPr lang="en-IN" sz="1050" baseline="0"/>
              <a:t> by Unit sold</a:t>
            </a:r>
            <a:endParaRPr lang="en-IN" sz="1050"/>
          </a:p>
        </c:rich>
      </c:tx>
      <c:layout>
        <c:manualLayout>
          <c:xMode val="edge"/>
          <c:yMode val="edge"/>
          <c:x val="0.34560367454068247"/>
          <c:y val="5.6033942898587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And Dashboard'!$E$21</c:f>
              <c:strCache>
                <c:ptCount val="1"/>
                <c:pt idx="0">
                  <c:v>Total</c:v>
                </c:pt>
              </c:strCache>
            </c:strRef>
          </c:tx>
          <c:spPr>
            <a:solidFill>
              <a:schemeClr val="accent1"/>
            </a:solidFill>
            <a:ln>
              <a:noFill/>
            </a:ln>
            <a:effectLst/>
          </c:spPr>
          <c:invertIfNegative val="0"/>
          <c:cat>
            <c:strRef>
              <c:f>'Pivot And Dashboard'!$D$22:$D$27</c:f>
              <c:strCache>
                <c:ptCount val="5"/>
                <c:pt idx="0">
                  <c:v>Neha</c:v>
                </c:pt>
                <c:pt idx="1">
                  <c:v>Priya</c:v>
                </c:pt>
                <c:pt idx="2">
                  <c:v>Rahul</c:v>
                </c:pt>
                <c:pt idx="3">
                  <c:v>Sneha</c:v>
                </c:pt>
                <c:pt idx="4">
                  <c:v>Vikas</c:v>
                </c:pt>
              </c:strCache>
            </c:strRef>
          </c:cat>
          <c:val>
            <c:numRef>
              <c:f>'Pivot And Dashboard'!$E$22:$E$27</c:f>
              <c:numCache>
                <c:formatCode>General</c:formatCode>
                <c:ptCount val="5"/>
                <c:pt idx="0">
                  <c:v>606</c:v>
                </c:pt>
                <c:pt idx="1">
                  <c:v>588</c:v>
                </c:pt>
                <c:pt idx="2">
                  <c:v>644</c:v>
                </c:pt>
                <c:pt idx="3">
                  <c:v>632</c:v>
                </c:pt>
                <c:pt idx="4">
                  <c:v>629</c:v>
                </c:pt>
              </c:numCache>
            </c:numRef>
          </c:val>
        </c:ser>
        <c:dLbls>
          <c:showLegendKey val="0"/>
          <c:showVal val="0"/>
          <c:showCatName val="0"/>
          <c:showSerName val="0"/>
          <c:showPercent val="0"/>
          <c:showBubbleSize val="0"/>
        </c:dLbls>
        <c:gapWidth val="182"/>
        <c:axId val="-1779923264"/>
        <c:axId val="-1779922176"/>
      </c:barChart>
      <c:catAx>
        <c:axId val="-177992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922176"/>
        <c:crosses val="autoZero"/>
        <c:auto val="1"/>
        <c:lblAlgn val="ctr"/>
        <c:lblOffset val="100"/>
        <c:noMultiLvlLbl val="0"/>
      </c:catAx>
      <c:valAx>
        <c:axId val="-177992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923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19051</xdr:colOff>
      <xdr:row>19</xdr:row>
      <xdr:rowOff>47625</xdr:rowOff>
    </xdr:from>
    <xdr:to>
      <xdr:col>11</xdr:col>
      <xdr:colOff>47626</xdr:colOff>
      <xdr:row>30</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285749</xdr:colOff>
      <xdr:row>19</xdr:row>
      <xdr:rowOff>57150</xdr:rowOff>
    </xdr:from>
    <xdr:to>
      <xdr:col>12</xdr:col>
      <xdr:colOff>323849</xdr:colOff>
      <xdr:row>27</xdr:row>
      <xdr:rowOff>104775</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01249" y="3724275"/>
              <a:ext cx="1171575"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xdr:colOff>
      <xdr:row>31</xdr:row>
      <xdr:rowOff>23812</xdr:rowOff>
    </xdr:from>
    <xdr:to>
      <xdr:col>11</xdr:col>
      <xdr:colOff>66675</xdr:colOff>
      <xdr:row>40</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266701</xdr:colOff>
      <xdr:row>31</xdr:row>
      <xdr:rowOff>1</xdr:rowOff>
    </xdr:from>
    <xdr:to>
      <xdr:col>12</xdr:col>
      <xdr:colOff>542926</xdr:colOff>
      <xdr:row>39</xdr:row>
      <xdr:rowOff>38101</xdr:rowOff>
    </xdr:to>
    <mc:AlternateContent xmlns:mc="http://schemas.openxmlformats.org/markup-compatibility/2006" xmlns:a14="http://schemas.microsoft.com/office/drawing/2010/main">
      <mc:Choice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982201" y="5953126"/>
              <a:ext cx="14097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7</xdr:row>
      <xdr:rowOff>19050</xdr:rowOff>
    </xdr:from>
    <xdr:to>
      <xdr:col>12</xdr:col>
      <xdr:colOff>428625</xdr:colOff>
      <xdr:row>17</xdr:row>
      <xdr:rowOff>19050</xdr:rowOff>
    </xdr:to>
    <mc:AlternateContent xmlns:mc="http://schemas.openxmlformats.org/markup-compatibility/2006" xmlns:a14="http://schemas.microsoft.com/office/drawing/2010/main">
      <mc:Choice Requires="a14">
        <xdr:graphicFrame macro="">
          <xdr:nvGraphicFramePr>
            <xdr:cNvPr id="9"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963150" y="1400175"/>
              <a:ext cx="131445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866775</xdr:colOff>
      <xdr:row>6</xdr:row>
      <xdr:rowOff>180975</xdr:rowOff>
    </xdr:from>
    <xdr:to>
      <xdr:col>11</xdr:col>
      <xdr:colOff>66675</xdr:colOff>
      <xdr:row>18</xdr:row>
      <xdr:rowOff>133350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96.497155555553" createdVersion="5" refreshedVersion="5" minRefreshableVersion="3" recordCount="500">
  <cacheSource type="worksheet">
    <worksheetSource name="Table1"/>
  </cacheSource>
  <cacheFields count="7">
    <cacheField name="Date" numFmtId="0">
      <sharedItems/>
    </cacheField>
    <cacheField name="Region" numFmtId="0">
      <sharedItems/>
    </cacheField>
    <cacheField name="Product" numFmtId="0">
      <sharedItems/>
    </cacheField>
    <cacheField name="Salesperson" numFmtId="0">
      <sharedItems count="6">
        <s v="Vikas"/>
        <s v="Rahul"/>
        <s v="Amit"/>
        <s v="Sneha"/>
        <s v="Priya"/>
        <s v="Neha"/>
      </sharedItems>
    </cacheField>
    <cacheField name="Units_Sold" numFmtId="0">
      <sharedItems containsSemiMixedTypes="0" containsString="0" containsNumber="1" containsInteger="1" minValue="1" maxValue="20"/>
    </cacheField>
    <cacheField name="Revenue" numFmtId="0">
      <sharedItems containsSemiMixedTypes="0" containsString="0" containsNumber="1" containsInteger="1" minValue="503" maxValue="39100"/>
    </cacheField>
    <cacheField name="Cost" numFmtId="0">
      <sharedItems containsSemiMixedTypes="0" containsString="0" containsNumber="1" containsInteger="1" minValue="251" maxValue="302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96.503452199075" createdVersion="5" refreshedVersion="5" minRefreshableVersion="3" recordCount="349">
  <cacheSource type="worksheet">
    <worksheetSource ref="A1:G350" sheet="Sales_Data"/>
  </cacheSource>
  <cacheFields count="7">
    <cacheField name="Date" numFmtId="0">
      <sharedItems/>
    </cacheField>
    <cacheField name="Region" numFmtId="0">
      <sharedItems count="4">
        <s v="West"/>
        <s v="South"/>
        <s v="East"/>
        <s v="North"/>
      </sharedItems>
    </cacheField>
    <cacheField name="Product" numFmtId="0">
      <sharedItems count="4">
        <s v="Accessory"/>
        <s v="Laptop"/>
        <s v="Mobile"/>
        <s v="Tablet"/>
      </sharedItems>
    </cacheField>
    <cacheField name="Salesperson" numFmtId="0">
      <sharedItems count="6">
        <s v="Vikas"/>
        <s v="Rahul"/>
        <s v="Amit"/>
        <s v="Sneha"/>
        <s v="Priya"/>
        <s v="Neha"/>
      </sharedItems>
    </cacheField>
    <cacheField name="Units_Sold" numFmtId="0">
      <sharedItems containsSemiMixedTypes="0" containsString="0" containsNumber="1" containsInteger="1" minValue="1" maxValue="20"/>
    </cacheField>
    <cacheField name="Revenue" numFmtId="0">
      <sharedItems containsSemiMixedTypes="0" containsString="0" containsNumber="1" containsInteger="1" minValue="503" maxValue="39100"/>
    </cacheField>
    <cacheField name="Cost" numFmtId="0">
      <sharedItems containsSemiMixedTypes="0" containsString="0" containsNumber="1" containsInteger="1" minValue="251" maxValue="3028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2025-01-10"/>
    <s v="West"/>
    <s v="Accessory"/>
    <x v="0"/>
    <n v="5"/>
    <n v="2870"/>
    <n v="2095"/>
  </r>
  <r>
    <s v="2025-06-05"/>
    <s v="South"/>
    <s v="Laptop"/>
    <x v="1"/>
    <n v="8"/>
    <n v="8272"/>
    <n v="5707"/>
  </r>
  <r>
    <s v="2025-01-22"/>
    <s v="West"/>
    <s v="Mobile"/>
    <x v="1"/>
    <n v="13"/>
    <n v="8658"/>
    <n v="4935"/>
  </r>
  <r>
    <s v="2025-03-05"/>
    <s v="West"/>
    <s v="Accessory"/>
    <x v="2"/>
    <n v="13"/>
    <n v="15665"/>
    <n v="9242"/>
  </r>
  <r>
    <s v="2025-02-04"/>
    <s v="East"/>
    <s v="Accessory"/>
    <x v="0"/>
    <n v="5"/>
    <n v="7445"/>
    <n v="5360"/>
  </r>
  <r>
    <s v="2025-02-11"/>
    <s v="West"/>
    <s v="Laptop"/>
    <x v="3"/>
    <n v="9"/>
    <n v="16344"/>
    <n v="11277"/>
  </r>
  <r>
    <s v="2025-06-17"/>
    <s v="East"/>
    <s v="Laptop"/>
    <x v="2"/>
    <n v="8"/>
    <n v="4336"/>
    <n v="2471"/>
  </r>
  <r>
    <s v="2025-03-18"/>
    <s v="West"/>
    <s v="Tablet"/>
    <x v="0"/>
    <n v="2"/>
    <n v="3396"/>
    <n v="2139"/>
  </r>
  <r>
    <s v="2025-05-14"/>
    <s v="West"/>
    <s v="Accessory"/>
    <x v="3"/>
    <n v="16"/>
    <n v="17104"/>
    <n v="12828"/>
  </r>
  <r>
    <s v="2025-03-01"/>
    <s v="East"/>
    <s v="Tablet"/>
    <x v="0"/>
    <n v="16"/>
    <n v="31872"/>
    <n v="23585"/>
  </r>
  <r>
    <s v="2025-05-06"/>
    <s v="South"/>
    <s v="Tablet"/>
    <x v="3"/>
    <n v="16"/>
    <n v="10704"/>
    <n v="5459"/>
  </r>
  <r>
    <s v="2025-05-04"/>
    <s v="North"/>
    <s v="Mobile"/>
    <x v="0"/>
    <n v="4"/>
    <n v="4892"/>
    <n v="2788"/>
  </r>
  <r>
    <s v="2025-01-16"/>
    <s v="North"/>
    <s v="Accessory"/>
    <x v="1"/>
    <n v="7"/>
    <n v="11200"/>
    <n v="8400"/>
  </r>
  <r>
    <s v="2025-04-02"/>
    <s v="North"/>
    <s v="Laptop"/>
    <x v="4"/>
    <n v="12"/>
    <n v="15816"/>
    <n v="9489"/>
  </r>
  <r>
    <s v="2025-03-27"/>
    <s v="West"/>
    <s v="Tablet"/>
    <x v="3"/>
    <n v="12"/>
    <n v="16032"/>
    <n v="11062"/>
  </r>
  <r>
    <s v="2025-06-13"/>
    <s v="West"/>
    <s v="Accessory"/>
    <x v="4"/>
    <n v="8"/>
    <n v="4792"/>
    <n v="3546"/>
  </r>
  <r>
    <s v="2025-01-17"/>
    <s v="North"/>
    <s v="Mobile"/>
    <x v="3"/>
    <n v="19"/>
    <n v="26239"/>
    <n v="20466"/>
  </r>
  <r>
    <s v="2025-03-20"/>
    <s v="West"/>
    <s v="Laptop"/>
    <x v="2"/>
    <n v="3"/>
    <n v="3408"/>
    <n v="2147"/>
  </r>
  <r>
    <s v="2025-01-31"/>
    <s v="North"/>
    <s v="Tablet"/>
    <x v="5"/>
    <n v="9"/>
    <n v="5814"/>
    <n v="3488"/>
  </r>
  <r>
    <s v="2025-05-29"/>
    <s v="North"/>
    <s v="Accessory"/>
    <x v="3"/>
    <n v="17"/>
    <n v="22032"/>
    <n v="13659"/>
  </r>
  <r>
    <s v="2025-03-14"/>
    <s v="West"/>
    <s v="Mobile"/>
    <x v="0"/>
    <n v="8"/>
    <n v="9856"/>
    <n v="6504"/>
  </r>
  <r>
    <s v="2025-01-19"/>
    <s v="North"/>
    <s v="Accessory"/>
    <x v="3"/>
    <n v="20"/>
    <n v="14060"/>
    <n v="7592"/>
  </r>
  <r>
    <s v="2025-04-28"/>
    <s v="South"/>
    <s v="Tablet"/>
    <x v="2"/>
    <n v="19"/>
    <n v="19912"/>
    <n v="15531"/>
  </r>
  <r>
    <s v="2025-06-05"/>
    <s v="South"/>
    <s v="Mobile"/>
    <x v="3"/>
    <n v="10"/>
    <n v="9540"/>
    <n v="6868"/>
  </r>
  <r>
    <s v="2025-04-27"/>
    <s v="North"/>
    <s v="Laptop"/>
    <x v="0"/>
    <n v="17"/>
    <n v="19210"/>
    <n v="14407"/>
  </r>
  <r>
    <s v="2025-03-22"/>
    <s v="North"/>
    <s v="Laptop"/>
    <x v="4"/>
    <n v="5"/>
    <n v="5680"/>
    <n v="4373"/>
  </r>
  <r>
    <s v="2025-04-29"/>
    <s v="West"/>
    <s v="Tablet"/>
    <x v="4"/>
    <n v="1"/>
    <n v="1990"/>
    <n v="1393"/>
  </r>
  <r>
    <s v="2025-02-15"/>
    <s v="North"/>
    <s v="Mobile"/>
    <x v="0"/>
    <n v="10"/>
    <n v="7220"/>
    <n v="3826"/>
  </r>
  <r>
    <s v="2025-01-17"/>
    <s v="West"/>
    <s v="Mobile"/>
    <x v="2"/>
    <n v="4"/>
    <n v="4304"/>
    <n v="2195"/>
  </r>
  <r>
    <s v="2025-06-13"/>
    <s v="North"/>
    <s v="Accessory"/>
    <x v="1"/>
    <n v="7"/>
    <n v="13419"/>
    <n v="9393"/>
  </r>
  <r>
    <s v="2025-06-14"/>
    <s v="North"/>
    <s v="Tablet"/>
    <x v="3"/>
    <n v="13"/>
    <n v="18889"/>
    <n v="9633"/>
  </r>
  <r>
    <s v="2025-03-18"/>
    <s v="North"/>
    <s v="Mobile"/>
    <x v="3"/>
    <n v="9"/>
    <n v="8505"/>
    <n v="6038"/>
  </r>
  <r>
    <s v="2025-05-11"/>
    <s v="North"/>
    <s v="Mobile"/>
    <x v="5"/>
    <n v="5"/>
    <n v="3425"/>
    <n v="2500"/>
  </r>
  <r>
    <s v="2025-06-22"/>
    <s v="West"/>
    <s v="Accessory"/>
    <x v="5"/>
    <n v="2"/>
    <n v="2748"/>
    <n v="2061"/>
  </r>
  <r>
    <s v="2025-04-02"/>
    <s v="South"/>
    <s v="Mobile"/>
    <x v="1"/>
    <n v="13"/>
    <n v="20163"/>
    <n v="11089"/>
  </r>
  <r>
    <s v="2025-05-12"/>
    <s v="East"/>
    <s v="Mobile"/>
    <x v="1"/>
    <n v="13"/>
    <n v="20696"/>
    <n v="15522"/>
  </r>
  <r>
    <s v="2025-04-11"/>
    <s v="East"/>
    <s v="Laptop"/>
    <x v="2"/>
    <n v="8"/>
    <n v="5872"/>
    <n v="4638"/>
  </r>
  <r>
    <s v="2025-01-28"/>
    <s v="West"/>
    <s v="Accessory"/>
    <x v="4"/>
    <n v="16"/>
    <n v="30048"/>
    <n v="17427"/>
  </r>
  <r>
    <s v="2025-01-11"/>
    <s v="West"/>
    <s v="Laptop"/>
    <x v="3"/>
    <n v="10"/>
    <n v="10830"/>
    <n v="7472"/>
  </r>
  <r>
    <s v="2025-02-14"/>
    <s v="East"/>
    <s v="Tablet"/>
    <x v="0"/>
    <n v="12"/>
    <n v="18576"/>
    <n v="13932"/>
  </r>
  <r>
    <s v="2025-02-17"/>
    <s v="North"/>
    <s v="Mobile"/>
    <x v="1"/>
    <n v="5"/>
    <n v="6700"/>
    <n v="3551"/>
  </r>
  <r>
    <s v="2025-04-28"/>
    <s v="North"/>
    <s v="Accessory"/>
    <x v="2"/>
    <n v="19"/>
    <n v="12673"/>
    <n v="8871"/>
  </r>
  <r>
    <s v="2025-06-27"/>
    <s v="North"/>
    <s v="Tablet"/>
    <x v="1"/>
    <n v="1"/>
    <n v="596"/>
    <n v="345"/>
  </r>
  <r>
    <s v="2025-06-04"/>
    <s v="South"/>
    <s v="Laptop"/>
    <x v="5"/>
    <n v="13"/>
    <n v="12103"/>
    <n v="6656"/>
  </r>
  <r>
    <s v="2025-04-27"/>
    <s v="North"/>
    <s v="Tablet"/>
    <x v="0"/>
    <n v="14"/>
    <n v="12306"/>
    <n v="8368"/>
  </r>
  <r>
    <s v="2025-02-24"/>
    <s v="South"/>
    <s v="Accessory"/>
    <x v="1"/>
    <n v="14"/>
    <n v="14966"/>
    <n v="9428"/>
  </r>
  <r>
    <s v="2025-06-09"/>
    <s v="East"/>
    <s v="Mobile"/>
    <x v="1"/>
    <n v="3"/>
    <n v="3897"/>
    <n v="2455"/>
  </r>
  <r>
    <s v="2025-02-25"/>
    <s v="East"/>
    <s v="Tablet"/>
    <x v="1"/>
    <n v="9"/>
    <n v="15480"/>
    <n v="11300"/>
  </r>
  <r>
    <s v="2025-03-26"/>
    <s v="East"/>
    <s v="Laptop"/>
    <x v="3"/>
    <n v="18"/>
    <n v="23274"/>
    <n v="16059"/>
  </r>
  <r>
    <s v="2025-03-13"/>
    <s v="West"/>
    <s v="Accessory"/>
    <x v="0"/>
    <n v="10"/>
    <n v="11800"/>
    <n v="8850"/>
  </r>
  <r>
    <s v="2025-01-08"/>
    <s v="South"/>
    <s v="Tablet"/>
    <x v="3"/>
    <n v="20"/>
    <n v="19400"/>
    <n v="11446"/>
  </r>
  <r>
    <s v="2025-02-05"/>
    <s v="West"/>
    <s v="Laptop"/>
    <x v="0"/>
    <n v="13"/>
    <n v="17693"/>
    <n v="11323"/>
  </r>
  <r>
    <s v="2025-05-07"/>
    <s v="North"/>
    <s v="Laptop"/>
    <x v="5"/>
    <n v="14"/>
    <n v="15918"/>
    <n v="11301"/>
  </r>
  <r>
    <s v="2025-01-18"/>
    <s v="South"/>
    <s v="Accessory"/>
    <x v="5"/>
    <n v="4"/>
    <n v="6856"/>
    <n v="4867"/>
  </r>
  <r>
    <s v="2025-04-10"/>
    <s v="East"/>
    <s v="Mobile"/>
    <x v="2"/>
    <n v="9"/>
    <n v="6129"/>
    <n v="4351"/>
  </r>
  <r>
    <s v="2025-01-23"/>
    <s v="West"/>
    <s v="Accessory"/>
    <x v="5"/>
    <n v="8"/>
    <n v="14784"/>
    <n v="9166"/>
  </r>
  <r>
    <s v="2025-01-23"/>
    <s v="West"/>
    <s v="Mobile"/>
    <x v="2"/>
    <n v="16"/>
    <n v="31024"/>
    <n v="20475"/>
  </r>
  <r>
    <s v="2025-02-02"/>
    <s v="North"/>
    <s v="Laptop"/>
    <x v="2"/>
    <n v="13"/>
    <n v="23153"/>
    <n v="16207"/>
  </r>
  <r>
    <s v="2025-04-09"/>
    <s v="North"/>
    <s v="Tablet"/>
    <x v="1"/>
    <n v="14"/>
    <n v="23548"/>
    <n v="13657"/>
  </r>
  <r>
    <s v="2025-01-11"/>
    <s v="West"/>
    <s v="Accessory"/>
    <x v="3"/>
    <n v="18"/>
    <n v="16416"/>
    <n v="12804"/>
  </r>
  <r>
    <s v="2025-02-13"/>
    <s v="West"/>
    <s v="Mobile"/>
    <x v="0"/>
    <n v="8"/>
    <n v="13944"/>
    <n v="9621"/>
  </r>
  <r>
    <s v="2025-05-17"/>
    <s v="North"/>
    <s v="Laptop"/>
    <x v="5"/>
    <n v="6"/>
    <n v="3912"/>
    <n v="2973"/>
  </r>
  <r>
    <s v="2025-05-26"/>
    <s v="South"/>
    <s v="Accessory"/>
    <x v="3"/>
    <n v="3"/>
    <n v="5463"/>
    <n v="3223"/>
  </r>
  <r>
    <s v="2025-05-28"/>
    <s v="South"/>
    <s v="Accessory"/>
    <x v="5"/>
    <n v="9"/>
    <n v="11457"/>
    <n v="8249"/>
  </r>
  <r>
    <s v="2025-05-17"/>
    <s v="North"/>
    <s v="Mobile"/>
    <x v="1"/>
    <n v="4"/>
    <n v="7356"/>
    <n v="3751"/>
  </r>
  <r>
    <s v="2025-05-07"/>
    <s v="East"/>
    <s v="Tablet"/>
    <x v="4"/>
    <n v="15"/>
    <n v="11670"/>
    <n v="6418"/>
  </r>
  <r>
    <s v="2025-05-15"/>
    <s v="South"/>
    <s v="Mobile"/>
    <x v="3"/>
    <n v="18"/>
    <n v="16038"/>
    <n v="8179"/>
  </r>
  <r>
    <s v="2025-06-25"/>
    <s v="South"/>
    <s v="Laptop"/>
    <x v="2"/>
    <n v="3"/>
    <n v="5667"/>
    <n v="4363"/>
  </r>
  <r>
    <s v="2025-04-24"/>
    <s v="South"/>
    <s v="Laptop"/>
    <x v="4"/>
    <n v="8"/>
    <n v="15184"/>
    <n v="10476"/>
  </r>
  <r>
    <s v="2025-01-24"/>
    <s v="South"/>
    <s v="Laptop"/>
    <x v="4"/>
    <n v="13"/>
    <n v="16536"/>
    <n v="10913"/>
  </r>
  <r>
    <s v="2025-06-24"/>
    <s v="East"/>
    <s v="Mobile"/>
    <x v="2"/>
    <n v="19"/>
    <n v="24472"/>
    <n v="14438"/>
  </r>
  <r>
    <s v="2025-02-27"/>
    <s v="West"/>
    <s v="Tablet"/>
    <x v="3"/>
    <n v="11"/>
    <n v="13893"/>
    <n v="8474"/>
  </r>
  <r>
    <s v="2025-02-13"/>
    <s v="North"/>
    <s v="Tablet"/>
    <x v="3"/>
    <n v="8"/>
    <n v="12928"/>
    <n v="7498"/>
  </r>
  <r>
    <s v="2025-04-15"/>
    <s v="South"/>
    <s v="Tablet"/>
    <x v="3"/>
    <n v="7"/>
    <n v="7602"/>
    <n v="5625"/>
  </r>
  <r>
    <s v="2025-02-05"/>
    <s v="West"/>
    <s v="Tablet"/>
    <x v="5"/>
    <n v="12"/>
    <n v="21912"/>
    <n v="14242"/>
  </r>
  <r>
    <s v="2025-05-26"/>
    <s v="South"/>
    <s v="Accessory"/>
    <x v="5"/>
    <n v="2"/>
    <n v="3102"/>
    <n v="1644"/>
  </r>
  <r>
    <s v="2025-02-15"/>
    <s v="West"/>
    <s v="Tablet"/>
    <x v="1"/>
    <n v="11"/>
    <n v="17798"/>
    <n v="11212"/>
  </r>
  <r>
    <s v="2025-02-17"/>
    <s v="East"/>
    <s v="Laptop"/>
    <x v="4"/>
    <n v="14"/>
    <n v="22680"/>
    <n v="15649"/>
  </r>
  <r>
    <s v="2025-01-02"/>
    <s v="South"/>
    <s v="Laptop"/>
    <x v="5"/>
    <n v="14"/>
    <n v="18550"/>
    <n v="9275"/>
  </r>
  <r>
    <s v="2025-05-23"/>
    <s v="West"/>
    <s v="Laptop"/>
    <x v="1"/>
    <n v="6"/>
    <n v="11490"/>
    <n v="7123"/>
  </r>
  <r>
    <s v="2025-04-08"/>
    <s v="East"/>
    <s v="Mobile"/>
    <x v="4"/>
    <n v="15"/>
    <n v="16080"/>
    <n v="8522"/>
  </r>
  <r>
    <s v="2025-01-24"/>
    <s v="North"/>
    <s v="Mobile"/>
    <x v="4"/>
    <n v="13"/>
    <n v="11050"/>
    <n v="8287"/>
  </r>
  <r>
    <s v="2025-01-16"/>
    <s v="South"/>
    <s v="Tablet"/>
    <x v="1"/>
    <n v="6"/>
    <n v="4932"/>
    <n v="2663"/>
  </r>
  <r>
    <s v="2025-02-08"/>
    <s v="West"/>
    <s v="Accessory"/>
    <x v="3"/>
    <n v="4"/>
    <n v="5536"/>
    <n v="3155"/>
  </r>
  <r>
    <s v="2025-04-20"/>
    <s v="West"/>
    <s v="Accessory"/>
    <x v="4"/>
    <n v="3"/>
    <n v="4314"/>
    <n v="2372"/>
  </r>
  <r>
    <s v="2025-03-05"/>
    <s v="North"/>
    <s v="Accessory"/>
    <x v="0"/>
    <n v="4"/>
    <n v="5752"/>
    <n v="3508"/>
  </r>
  <r>
    <s v="2025-03-06"/>
    <s v="North"/>
    <s v="Tablet"/>
    <x v="0"/>
    <n v="18"/>
    <n v="10854"/>
    <n v="5535"/>
  </r>
  <r>
    <s v="2025-03-09"/>
    <s v="North"/>
    <s v="Accessory"/>
    <x v="2"/>
    <n v="4"/>
    <n v="3496"/>
    <n v="2412"/>
  </r>
  <r>
    <s v="2025-01-31"/>
    <s v="South"/>
    <s v="Tablet"/>
    <x v="5"/>
    <n v="8"/>
    <n v="6752"/>
    <n v="3646"/>
  </r>
  <r>
    <s v="2025-04-20"/>
    <s v="East"/>
    <s v="Tablet"/>
    <x v="3"/>
    <n v="5"/>
    <n v="8795"/>
    <n v="5364"/>
  </r>
  <r>
    <s v="2025-06-13"/>
    <s v="West"/>
    <s v="Mobile"/>
    <x v="3"/>
    <n v="11"/>
    <n v="7172"/>
    <n v="4805"/>
  </r>
  <r>
    <s v="2025-02-12"/>
    <s v="East"/>
    <s v="Tablet"/>
    <x v="2"/>
    <n v="16"/>
    <n v="24704"/>
    <n v="18528"/>
  </r>
  <r>
    <s v="2025-05-13"/>
    <s v="North"/>
    <s v="Accessory"/>
    <x v="4"/>
    <n v="5"/>
    <n v="3320"/>
    <n v="2622"/>
  </r>
  <r>
    <s v="2025-03-26"/>
    <s v="East"/>
    <s v="Mobile"/>
    <x v="3"/>
    <n v="11"/>
    <n v="12947"/>
    <n v="6861"/>
  </r>
  <r>
    <s v="2025-04-28"/>
    <s v="South"/>
    <s v="Tablet"/>
    <x v="2"/>
    <n v="10"/>
    <n v="12060"/>
    <n v="6633"/>
  </r>
  <r>
    <s v="2025-02-20"/>
    <s v="East"/>
    <s v="Mobile"/>
    <x v="1"/>
    <n v="12"/>
    <n v="18432"/>
    <n v="10321"/>
  </r>
  <r>
    <s v="2025-03-22"/>
    <s v="North"/>
    <s v="Mobile"/>
    <x v="4"/>
    <n v="4"/>
    <n v="4008"/>
    <n v="2244"/>
  </r>
  <r>
    <s v="2025-06-15"/>
    <s v="North"/>
    <s v="Mobile"/>
    <x v="3"/>
    <n v="20"/>
    <n v="10980"/>
    <n v="6148"/>
  </r>
  <r>
    <s v="2025-06-30"/>
    <s v="North"/>
    <s v="Laptop"/>
    <x v="5"/>
    <n v="10"/>
    <n v="16880"/>
    <n v="12997"/>
  </r>
  <r>
    <s v="2025-04-08"/>
    <s v="North"/>
    <s v="Tablet"/>
    <x v="0"/>
    <n v="16"/>
    <n v="20208"/>
    <n v="10912"/>
  </r>
  <r>
    <s v="2025-01-15"/>
    <s v="South"/>
    <s v="Tablet"/>
    <x v="0"/>
    <n v="9"/>
    <n v="8415"/>
    <n v="5722"/>
  </r>
  <r>
    <s v="2025-05-22"/>
    <s v="West"/>
    <s v="Accessory"/>
    <x v="0"/>
    <n v="19"/>
    <n v="26638"/>
    <n v="15982"/>
  </r>
  <r>
    <s v="2025-03-15"/>
    <s v="South"/>
    <s v="Mobile"/>
    <x v="5"/>
    <n v="5"/>
    <n v="5955"/>
    <n v="3096"/>
  </r>
  <r>
    <s v="2025-02-01"/>
    <s v="West"/>
    <s v="Tablet"/>
    <x v="2"/>
    <n v="11"/>
    <n v="14091"/>
    <n v="10427"/>
  </r>
  <r>
    <s v="2025-05-15"/>
    <s v="West"/>
    <s v="Laptop"/>
    <x v="5"/>
    <n v="16"/>
    <n v="9808"/>
    <n v="5884"/>
  </r>
  <r>
    <s v="2025-06-24"/>
    <s v="East"/>
    <s v="Accessory"/>
    <x v="4"/>
    <n v="16"/>
    <n v="20432"/>
    <n v="16141"/>
  </r>
  <r>
    <s v="2025-03-18"/>
    <s v="North"/>
    <s v="Tablet"/>
    <x v="5"/>
    <n v="20"/>
    <n v="29600"/>
    <n v="16280"/>
  </r>
  <r>
    <s v="2025-04-06"/>
    <s v="North"/>
    <s v="Tablet"/>
    <x v="2"/>
    <n v="2"/>
    <n v="3756"/>
    <n v="2028"/>
  </r>
  <r>
    <s v="2025-02-24"/>
    <s v="South"/>
    <s v="Mobile"/>
    <x v="1"/>
    <n v="14"/>
    <n v="11970"/>
    <n v="8139"/>
  </r>
  <r>
    <s v="2025-03-24"/>
    <s v="West"/>
    <s v="Mobile"/>
    <x v="3"/>
    <n v="5"/>
    <n v="3870"/>
    <n v="2438"/>
  </r>
  <r>
    <s v="2025-03-31"/>
    <s v="West"/>
    <s v="Mobile"/>
    <x v="5"/>
    <n v="14"/>
    <n v="10906"/>
    <n v="5889"/>
  </r>
  <r>
    <s v="2025-03-08"/>
    <s v="East"/>
    <s v="Laptop"/>
    <x v="3"/>
    <n v="6"/>
    <n v="7440"/>
    <n v="5877"/>
  </r>
  <r>
    <s v="2025-03-16"/>
    <s v="North"/>
    <s v="Tablet"/>
    <x v="4"/>
    <n v="14"/>
    <n v="15512"/>
    <n v="9927"/>
  </r>
  <r>
    <s v="2025-01-03"/>
    <s v="North"/>
    <s v="Mobile"/>
    <x v="3"/>
    <n v="7"/>
    <n v="6853"/>
    <n v="5482"/>
  </r>
  <r>
    <s v="2025-01-04"/>
    <s v="West"/>
    <s v="Tablet"/>
    <x v="5"/>
    <n v="11"/>
    <n v="7942"/>
    <n v="3971"/>
  </r>
  <r>
    <s v="2025-03-25"/>
    <s v="East"/>
    <s v="Mobile"/>
    <x v="0"/>
    <n v="1"/>
    <n v="1798"/>
    <n v="1240"/>
  </r>
  <r>
    <s v="2025-03-03"/>
    <s v="East"/>
    <s v="Laptop"/>
    <x v="3"/>
    <n v="1"/>
    <n v="1766"/>
    <n v="1377"/>
  </r>
  <r>
    <s v="2025-06-23"/>
    <s v="North"/>
    <s v="Mobile"/>
    <x v="5"/>
    <n v="7"/>
    <n v="11060"/>
    <n v="5751"/>
  </r>
  <r>
    <s v="2025-05-18"/>
    <s v="West"/>
    <s v="Tablet"/>
    <x v="5"/>
    <n v="17"/>
    <n v="9197"/>
    <n v="6437"/>
  </r>
  <r>
    <s v="2025-04-04"/>
    <s v="North"/>
    <s v="Mobile"/>
    <x v="0"/>
    <n v="16"/>
    <n v="29200"/>
    <n v="19564"/>
  </r>
  <r>
    <s v="2025-01-04"/>
    <s v="North"/>
    <s v="Laptop"/>
    <x v="0"/>
    <n v="3"/>
    <n v="2052"/>
    <n v="1539"/>
  </r>
  <r>
    <s v="2025-01-28"/>
    <s v="East"/>
    <s v="Accessory"/>
    <x v="1"/>
    <n v="1"/>
    <n v="525"/>
    <n v="420"/>
  </r>
  <r>
    <s v="2025-04-06"/>
    <s v="East"/>
    <s v="Tablet"/>
    <x v="4"/>
    <n v="3"/>
    <n v="4134"/>
    <n v="2480"/>
  </r>
  <r>
    <s v="2025-05-29"/>
    <s v="North"/>
    <s v="Mobile"/>
    <x v="0"/>
    <n v="6"/>
    <n v="10350"/>
    <n v="6520"/>
  </r>
  <r>
    <s v="2025-04-08"/>
    <s v="West"/>
    <s v="Mobile"/>
    <x v="0"/>
    <n v="11"/>
    <n v="17270"/>
    <n v="8980"/>
  </r>
  <r>
    <s v="2025-06-14"/>
    <s v="North"/>
    <s v="Tablet"/>
    <x v="4"/>
    <n v="5"/>
    <n v="8010"/>
    <n v="6247"/>
  </r>
  <r>
    <s v="2025-05-13"/>
    <s v="South"/>
    <s v="Laptop"/>
    <x v="1"/>
    <n v="18"/>
    <n v="25128"/>
    <n v="16835"/>
  </r>
  <r>
    <s v="2025-05-14"/>
    <s v="North"/>
    <s v="Tablet"/>
    <x v="0"/>
    <n v="10"/>
    <n v="15990"/>
    <n v="11193"/>
  </r>
  <r>
    <s v="2025-05-28"/>
    <s v="East"/>
    <s v="Accessory"/>
    <x v="5"/>
    <n v="20"/>
    <n v="25860"/>
    <n v="19653"/>
  </r>
  <r>
    <s v="2025-02-02"/>
    <s v="North"/>
    <s v="Mobile"/>
    <x v="0"/>
    <n v="5"/>
    <n v="2895"/>
    <n v="1765"/>
  </r>
  <r>
    <s v="2025-05-20"/>
    <s v="North"/>
    <s v="Accessory"/>
    <x v="1"/>
    <n v="14"/>
    <n v="20384"/>
    <n v="15899"/>
  </r>
  <r>
    <s v="2025-05-30"/>
    <s v="South"/>
    <s v="Mobile"/>
    <x v="1"/>
    <n v="11"/>
    <n v="14476"/>
    <n v="9988"/>
  </r>
  <r>
    <s v="2025-03-14"/>
    <s v="North"/>
    <s v="Laptop"/>
    <x v="1"/>
    <n v="11"/>
    <n v="19921"/>
    <n v="10159"/>
  </r>
  <r>
    <s v="2025-02-25"/>
    <s v="West"/>
    <s v="Mobile"/>
    <x v="4"/>
    <n v="19"/>
    <n v="27436"/>
    <n v="21948"/>
  </r>
  <r>
    <s v="2025-05-29"/>
    <s v="East"/>
    <s v="Laptop"/>
    <x v="0"/>
    <n v="13"/>
    <n v="15756"/>
    <n v="8823"/>
  </r>
  <r>
    <s v="2025-04-08"/>
    <s v="South"/>
    <s v="Accessory"/>
    <x v="4"/>
    <n v="13"/>
    <n v="15223"/>
    <n v="9742"/>
  </r>
  <r>
    <s v="2025-03-24"/>
    <s v="North"/>
    <s v="Mobile"/>
    <x v="4"/>
    <n v="5"/>
    <n v="9520"/>
    <n v="5807"/>
  </r>
  <r>
    <s v="2025-06-19"/>
    <s v="East"/>
    <s v="Tablet"/>
    <x v="1"/>
    <n v="8"/>
    <n v="12616"/>
    <n v="6560"/>
  </r>
  <r>
    <s v="2025-06-20"/>
    <s v="South"/>
    <s v="Accessory"/>
    <x v="1"/>
    <n v="2"/>
    <n v="3694"/>
    <n v="2179"/>
  </r>
  <r>
    <s v="2025-02-12"/>
    <s v="South"/>
    <s v="Accessory"/>
    <x v="0"/>
    <n v="1"/>
    <n v="618"/>
    <n v="364"/>
  </r>
  <r>
    <s v="2025-03-26"/>
    <s v="North"/>
    <s v="Tablet"/>
    <x v="1"/>
    <n v="6"/>
    <n v="8874"/>
    <n v="6123"/>
  </r>
  <r>
    <s v="2025-04-27"/>
    <s v="West"/>
    <s v="Laptop"/>
    <x v="2"/>
    <n v="9"/>
    <n v="7101"/>
    <n v="4899"/>
  </r>
  <r>
    <s v="2025-03-02"/>
    <s v="South"/>
    <s v="Laptop"/>
    <x v="5"/>
    <n v="2"/>
    <n v="3976"/>
    <n v="3141"/>
  </r>
  <r>
    <s v="2025-03-17"/>
    <s v="East"/>
    <s v="Mobile"/>
    <x v="5"/>
    <n v="15"/>
    <n v="23190"/>
    <n v="16464"/>
  </r>
  <r>
    <s v="2025-03-15"/>
    <s v="West"/>
    <s v="Tablet"/>
    <x v="3"/>
    <n v="12"/>
    <n v="13788"/>
    <n v="9237"/>
  </r>
  <r>
    <s v="2025-01-19"/>
    <s v="South"/>
    <s v="Laptop"/>
    <x v="3"/>
    <n v="20"/>
    <n v="30820"/>
    <n v="16642"/>
  </r>
  <r>
    <s v="2025-04-15"/>
    <s v="North"/>
    <s v="Accessory"/>
    <x v="4"/>
    <n v="7"/>
    <n v="13699"/>
    <n v="7123"/>
  </r>
  <r>
    <s v="2025-03-11"/>
    <s v="South"/>
    <s v="Mobile"/>
    <x v="2"/>
    <n v="13"/>
    <n v="17927"/>
    <n v="12548"/>
  </r>
  <r>
    <s v="2025-06-23"/>
    <s v="South"/>
    <s v="Tablet"/>
    <x v="0"/>
    <n v="3"/>
    <n v="5940"/>
    <n v="4336"/>
  </r>
  <r>
    <s v="2025-04-04"/>
    <s v="South"/>
    <s v="Tablet"/>
    <x v="2"/>
    <n v="13"/>
    <n v="7319"/>
    <n v="4245"/>
  </r>
  <r>
    <s v="2025-04-15"/>
    <s v="South"/>
    <s v="Tablet"/>
    <x v="3"/>
    <n v="1"/>
    <n v="503"/>
    <n v="251"/>
  </r>
  <r>
    <s v="2025-05-22"/>
    <s v="West"/>
    <s v="Laptop"/>
    <x v="1"/>
    <n v="20"/>
    <n v="16260"/>
    <n v="11219"/>
  </r>
  <r>
    <s v="2025-03-21"/>
    <s v="East"/>
    <s v="Mobile"/>
    <x v="3"/>
    <n v="19"/>
    <n v="26600"/>
    <n v="16758"/>
  </r>
  <r>
    <s v="2025-03-26"/>
    <s v="West"/>
    <s v="Laptop"/>
    <x v="5"/>
    <n v="13"/>
    <n v="20449"/>
    <n v="14314"/>
  </r>
  <r>
    <s v="2025-05-09"/>
    <s v="West"/>
    <s v="Mobile"/>
    <x v="4"/>
    <n v="20"/>
    <n v="19800"/>
    <n v="9900"/>
  </r>
  <r>
    <s v="2025-03-05"/>
    <s v="East"/>
    <s v="Accessory"/>
    <x v="1"/>
    <n v="20"/>
    <n v="39060"/>
    <n v="28904"/>
  </r>
  <r>
    <s v="2025-06-09"/>
    <s v="West"/>
    <s v="Mobile"/>
    <x v="3"/>
    <n v="10"/>
    <n v="19800"/>
    <n v="12276"/>
  </r>
  <r>
    <s v="2025-02-05"/>
    <s v="South"/>
    <s v="Accessory"/>
    <x v="0"/>
    <n v="11"/>
    <n v="12309"/>
    <n v="6154"/>
  </r>
  <r>
    <s v="2025-06-23"/>
    <s v="East"/>
    <s v="Mobile"/>
    <x v="1"/>
    <n v="5"/>
    <n v="7595"/>
    <n v="4481"/>
  </r>
  <r>
    <s v="2025-04-22"/>
    <s v="West"/>
    <s v="Tablet"/>
    <x v="4"/>
    <n v="3"/>
    <n v="2811"/>
    <n v="1686"/>
  </r>
  <r>
    <s v="2025-04-20"/>
    <s v="West"/>
    <s v="Tablet"/>
    <x v="0"/>
    <n v="20"/>
    <n v="39100"/>
    <n v="26979"/>
  </r>
  <r>
    <s v="2025-02-20"/>
    <s v="East"/>
    <s v="Mobile"/>
    <x v="0"/>
    <n v="8"/>
    <n v="11304"/>
    <n v="8251"/>
  </r>
  <r>
    <s v="2025-01-26"/>
    <s v="North"/>
    <s v="Accessory"/>
    <x v="3"/>
    <n v="4"/>
    <n v="3916"/>
    <n v="2349"/>
  </r>
  <r>
    <s v="2025-02-01"/>
    <s v="West"/>
    <s v="Accessory"/>
    <x v="3"/>
    <n v="17"/>
    <n v="9299"/>
    <n v="6602"/>
  </r>
  <r>
    <s v="2025-01-19"/>
    <s v="West"/>
    <s v="Accessory"/>
    <x v="3"/>
    <n v="11"/>
    <n v="13288"/>
    <n v="8504"/>
  </r>
  <r>
    <s v="2025-03-24"/>
    <s v="North"/>
    <s v="Tablet"/>
    <x v="2"/>
    <n v="14"/>
    <n v="13118"/>
    <n v="6690"/>
  </r>
  <r>
    <s v="2025-01-12"/>
    <s v="South"/>
    <s v="Tablet"/>
    <x v="4"/>
    <n v="12"/>
    <n v="19752"/>
    <n v="11061"/>
  </r>
  <r>
    <s v="2025-04-26"/>
    <s v="South"/>
    <s v="Laptop"/>
    <x v="1"/>
    <n v="17"/>
    <n v="28662"/>
    <n v="19490"/>
  </r>
  <r>
    <s v="2025-02-17"/>
    <s v="North"/>
    <s v="Tablet"/>
    <x v="1"/>
    <n v="14"/>
    <n v="17416"/>
    <n v="11146"/>
  </r>
  <r>
    <s v="2025-05-10"/>
    <s v="West"/>
    <s v="Laptop"/>
    <x v="2"/>
    <n v="20"/>
    <n v="37860"/>
    <n v="30288"/>
  </r>
  <r>
    <s v="2025-06-04"/>
    <s v="South"/>
    <s v="Mobile"/>
    <x v="4"/>
    <n v="5"/>
    <n v="8920"/>
    <n v="4549"/>
  </r>
  <r>
    <s v="2025-06-05"/>
    <s v="North"/>
    <s v="Laptop"/>
    <x v="2"/>
    <n v="18"/>
    <n v="19926"/>
    <n v="15343"/>
  </r>
  <r>
    <s v="2025-01-18"/>
    <s v="West"/>
    <s v="Mobile"/>
    <x v="5"/>
    <n v="5"/>
    <n v="4030"/>
    <n v="2780"/>
  </r>
  <r>
    <s v="2025-05-18"/>
    <s v="East"/>
    <s v="Laptop"/>
    <x v="3"/>
    <n v="6"/>
    <n v="4362"/>
    <n v="2791"/>
  </r>
  <r>
    <s v="2025-06-04"/>
    <s v="East"/>
    <s v="Tablet"/>
    <x v="2"/>
    <n v="1"/>
    <n v="1102"/>
    <n v="848"/>
  </r>
  <r>
    <s v="2025-05-02"/>
    <s v="West"/>
    <s v="Tablet"/>
    <x v="2"/>
    <n v="6"/>
    <n v="5700"/>
    <n v="3591"/>
  </r>
  <r>
    <s v="2025-02-16"/>
    <s v="North"/>
    <s v="Tablet"/>
    <x v="5"/>
    <n v="12"/>
    <n v="20052"/>
    <n v="11028"/>
  </r>
  <r>
    <s v="2025-04-19"/>
    <s v="East"/>
    <s v="Laptop"/>
    <x v="0"/>
    <n v="10"/>
    <n v="15070"/>
    <n v="8891"/>
  </r>
  <r>
    <s v="2025-03-23"/>
    <s v="South"/>
    <s v="Mobile"/>
    <x v="1"/>
    <n v="17"/>
    <n v="29342"/>
    <n v="17898"/>
  </r>
  <r>
    <s v="2025-01-28"/>
    <s v="South"/>
    <s v="Mobile"/>
    <x v="4"/>
    <n v="18"/>
    <n v="20772"/>
    <n v="11840"/>
  </r>
  <r>
    <s v="2025-06-14"/>
    <s v="South"/>
    <s v="Mobile"/>
    <x v="5"/>
    <n v="17"/>
    <n v="19975"/>
    <n v="10786"/>
  </r>
  <r>
    <s v="2025-05-08"/>
    <s v="West"/>
    <s v="Accessory"/>
    <x v="2"/>
    <n v="20"/>
    <n v="33380"/>
    <n v="25368"/>
  </r>
  <r>
    <s v="2025-05-29"/>
    <s v="North"/>
    <s v="Accessory"/>
    <x v="2"/>
    <n v="10"/>
    <n v="13000"/>
    <n v="10010"/>
  </r>
  <r>
    <s v="2025-06-17"/>
    <s v="West"/>
    <s v="Accessory"/>
    <x v="4"/>
    <n v="19"/>
    <n v="25479"/>
    <n v="16306"/>
  </r>
  <r>
    <s v="2025-02-25"/>
    <s v="South"/>
    <s v="Accessory"/>
    <x v="4"/>
    <n v="18"/>
    <n v="21582"/>
    <n v="16186"/>
  </r>
  <r>
    <s v="2025-06-16"/>
    <s v="North"/>
    <s v="Tablet"/>
    <x v="1"/>
    <n v="7"/>
    <n v="7917"/>
    <n v="5462"/>
  </r>
  <r>
    <s v="2025-03-24"/>
    <s v="West"/>
    <s v="Tablet"/>
    <x v="4"/>
    <n v="1"/>
    <n v="1297"/>
    <n v="778"/>
  </r>
  <r>
    <s v="2025-03-10"/>
    <s v="South"/>
    <s v="Accessory"/>
    <x v="0"/>
    <n v="15"/>
    <n v="21285"/>
    <n v="11706"/>
  </r>
  <r>
    <s v="2025-06-29"/>
    <s v="South"/>
    <s v="Laptop"/>
    <x v="3"/>
    <n v="5"/>
    <n v="2915"/>
    <n v="1836"/>
  </r>
  <r>
    <s v="2025-03-15"/>
    <s v="West"/>
    <s v="Tablet"/>
    <x v="5"/>
    <n v="6"/>
    <n v="3246"/>
    <n v="1752"/>
  </r>
  <r>
    <s v="2025-03-09"/>
    <s v="East"/>
    <s v="Laptop"/>
    <x v="1"/>
    <n v="18"/>
    <n v="11862"/>
    <n v="9370"/>
  </r>
  <r>
    <s v="2025-05-18"/>
    <s v="West"/>
    <s v="Tablet"/>
    <x v="4"/>
    <n v="18"/>
    <n v="18162"/>
    <n v="14166"/>
  </r>
  <r>
    <s v="2025-06-06"/>
    <s v="West"/>
    <s v="Accessory"/>
    <x v="2"/>
    <n v="7"/>
    <n v="10885"/>
    <n v="7946"/>
  </r>
  <r>
    <s v="2025-02-09"/>
    <s v="South"/>
    <s v="Accessory"/>
    <x v="0"/>
    <n v="6"/>
    <n v="8316"/>
    <n v="4989"/>
  </r>
  <r>
    <s v="2025-05-31"/>
    <s v="West"/>
    <s v="Tablet"/>
    <x v="0"/>
    <n v="4"/>
    <n v="7700"/>
    <n v="4851"/>
  </r>
  <r>
    <s v="2025-04-22"/>
    <s v="North"/>
    <s v="Tablet"/>
    <x v="1"/>
    <n v="18"/>
    <n v="29700"/>
    <n v="21681"/>
  </r>
  <r>
    <s v="2025-05-01"/>
    <s v="North"/>
    <s v="Laptop"/>
    <x v="5"/>
    <n v="16"/>
    <n v="10240"/>
    <n v="5836"/>
  </r>
  <r>
    <s v="2025-02-17"/>
    <s v="West"/>
    <s v="Laptop"/>
    <x v="0"/>
    <n v="2"/>
    <n v="3562"/>
    <n v="2564"/>
  </r>
  <r>
    <s v="2025-04-28"/>
    <s v="East"/>
    <s v="Mobile"/>
    <x v="0"/>
    <n v="14"/>
    <n v="23464"/>
    <n v="13374"/>
  </r>
  <r>
    <s v="2025-01-21"/>
    <s v="East"/>
    <s v="Accessory"/>
    <x v="2"/>
    <n v="4"/>
    <n v="7988"/>
    <n v="5272"/>
  </r>
  <r>
    <s v="2025-04-19"/>
    <s v="West"/>
    <s v="Laptop"/>
    <x v="4"/>
    <n v="16"/>
    <n v="30832"/>
    <n v="22507"/>
  </r>
  <r>
    <s v="2025-01-04"/>
    <s v="North"/>
    <s v="Laptop"/>
    <x v="5"/>
    <n v="20"/>
    <n v="29540"/>
    <n v="22450"/>
  </r>
  <r>
    <s v="2025-04-04"/>
    <s v="East"/>
    <s v="Accessory"/>
    <x v="1"/>
    <n v="1"/>
    <n v="1191"/>
    <n v="762"/>
  </r>
  <r>
    <s v="2025-01-23"/>
    <s v="North"/>
    <s v="Tablet"/>
    <x v="5"/>
    <n v="9"/>
    <n v="6030"/>
    <n v="3859"/>
  </r>
  <r>
    <s v="2025-02-24"/>
    <s v="South"/>
    <s v="Mobile"/>
    <x v="5"/>
    <n v="9"/>
    <n v="17325"/>
    <n v="9182"/>
  </r>
  <r>
    <s v="2025-03-05"/>
    <s v="South"/>
    <s v="Laptop"/>
    <x v="3"/>
    <n v="17"/>
    <n v="30668"/>
    <n v="20547"/>
  </r>
  <r>
    <s v="2025-06-16"/>
    <s v="South"/>
    <s v="Laptop"/>
    <x v="2"/>
    <n v="14"/>
    <n v="22414"/>
    <n v="17707"/>
  </r>
  <r>
    <s v="2025-03-11"/>
    <s v="East"/>
    <s v="Mobile"/>
    <x v="3"/>
    <n v="13"/>
    <n v="20462"/>
    <n v="13504"/>
  </r>
  <r>
    <s v="2025-01-30"/>
    <s v="South"/>
    <s v="Laptop"/>
    <x v="1"/>
    <n v="16"/>
    <n v="20544"/>
    <n v="14380"/>
  </r>
  <r>
    <s v="2025-03-06"/>
    <s v="North"/>
    <s v="Laptop"/>
    <x v="2"/>
    <n v="16"/>
    <n v="21680"/>
    <n v="14308"/>
  </r>
  <r>
    <s v="2025-05-17"/>
    <s v="West"/>
    <s v="Laptop"/>
    <x v="3"/>
    <n v="14"/>
    <n v="24108"/>
    <n v="15670"/>
  </r>
  <r>
    <s v="2025-04-09"/>
    <s v="South"/>
    <s v="Mobile"/>
    <x v="0"/>
    <n v="16"/>
    <n v="19200"/>
    <n v="11712"/>
  </r>
  <r>
    <s v="2025-03-29"/>
    <s v="West"/>
    <s v="Mobile"/>
    <x v="0"/>
    <n v="13"/>
    <n v="16861"/>
    <n v="12814"/>
  </r>
  <r>
    <s v="2025-06-01"/>
    <s v="West"/>
    <s v="Laptop"/>
    <x v="3"/>
    <n v="14"/>
    <n v="14546"/>
    <n v="8145"/>
  </r>
  <r>
    <s v="2025-03-19"/>
    <s v="West"/>
    <s v="Tablet"/>
    <x v="5"/>
    <n v="11"/>
    <n v="19778"/>
    <n v="14833"/>
  </r>
  <r>
    <s v="2025-01-29"/>
    <s v="West"/>
    <s v="Tablet"/>
    <x v="5"/>
    <n v="20"/>
    <n v="23180"/>
    <n v="15994"/>
  </r>
  <r>
    <s v="2025-01-06"/>
    <s v="East"/>
    <s v="Tablet"/>
    <x v="0"/>
    <n v="18"/>
    <n v="14724"/>
    <n v="11779"/>
  </r>
  <r>
    <s v="2025-03-20"/>
    <s v="East"/>
    <s v="Accessory"/>
    <x v="0"/>
    <n v="14"/>
    <n v="16030"/>
    <n v="8175"/>
  </r>
  <r>
    <s v="2025-05-13"/>
    <s v="South"/>
    <s v="Laptop"/>
    <x v="2"/>
    <n v="13"/>
    <n v="23426"/>
    <n v="12650"/>
  </r>
  <r>
    <s v="2025-01-14"/>
    <s v="West"/>
    <s v="Laptop"/>
    <x v="2"/>
    <n v="7"/>
    <n v="5292"/>
    <n v="3916"/>
  </r>
  <r>
    <s v="2025-01-27"/>
    <s v="East"/>
    <s v="Accessory"/>
    <x v="2"/>
    <n v="6"/>
    <n v="6444"/>
    <n v="3995"/>
  </r>
  <r>
    <s v="2025-01-11"/>
    <s v="East"/>
    <s v="Accessory"/>
    <x v="1"/>
    <n v="7"/>
    <n v="9723"/>
    <n v="5542"/>
  </r>
  <r>
    <s v="2025-04-04"/>
    <s v="South"/>
    <s v="Accessory"/>
    <x v="3"/>
    <n v="13"/>
    <n v="10426"/>
    <n v="7506"/>
  </r>
  <r>
    <s v="2025-03-13"/>
    <s v="West"/>
    <s v="Accessory"/>
    <x v="2"/>
    <n v="12"/>
    <n v="17220"/>
    <n v="8782"/>
  </r>
  <r>
    <s v="2025-04-14"/>
    <s v="West"/>
    <s v="Accessory"/>
    <x v="2"/>
    <n v="6"/>
    <n v="10122"/>
    <n v="7591"/>
  </r>
  <r>
    <s v="2025-06-27"/>
    <s v="North"/>
    <s v="Laptop"/>
    <x v="4"/>
    <n v="2"/>
    <n v="2780"/>
    <n v="2112"/>
  </r>
  <r>
    <s v="2025-06-30"/>
    <s v="South"/>
    <s v="Tablet"/>
    <x v="2"/>
    <n v="11"/>
    <n v="6545"/>
    <n v="4057"/>
  </r>
  <r>
    <s v="2025-01-28"/>
    <s v="East"/>
    <s v="Accessory"/>
    <x v="4"/>
    <n v="6"/>
    <n v="3516"/>
    <n v="2250"/>
  </r>
  <r>
    <s v="2025-03-10"/>
    <s v="West"/>
    <s v="Accessory"/>
    <x v="3"/>
    <n v="13"/>
    <n v="15132"/>
    <n v="8927"/>
  </r>
  <r>
    <s v="2025-06-03"/>
    <s v="South"/>
    <s v="Mobile"/>
    <x v="5"/>
    <n v="2"/>
    <n v="3124"/>
    <n v="1905"/>
  </r>
  <r>
    <s v="2025-02-25"/>
    <s v="North"/>
    <s v="Accessory"/>
    <x v="0"/>
    <n v="9"/>
    <n v="13878"/>
    <n v="9714"/>
  </r>
  <r>
    <s v="2025-06-26"/>
    <s v="West"/>
    <s v="Laptop"/>
    <x v="4"/>
    <n v="10"/>
    <n v="15170"/>
    <n v="9253"/>
  </r>
  <r>
    <s v="2025-01-15"/>
    <s v="South"/>
    <s v="Laptop"/>
    <x v="5"/>
    <n v="20"/>
    <n v="31020"/>
    <n v="22024"/>
  </r>
  <r>
    <s v="2025-03-19"/>
    <s v="East"/>
    <s v="Tablet"/>
    <x v="1"/>
    <n v="1"/>
    <n v="1168"/>
    <n v="782"/>
  </r>
  <r>
    <s v="2025-02-12"/>
    <s v="West"/>
    <s v="Mobile"/>
    <x v="0"/>
    <n v="1"/>
    <n v="1757"/>
    <n v="1388"/>
  </r>
  <r>
    <s v="2025-02-26"/>
    <s v="South"/>
    <s v="Accessory"/>
    <x v="4"/>
    <n v="11"/>
    <n v="8745"/>
    <n v="4984"/>
  </r>
  <r>
    <s v="2025-04-29"/>
    <s v="North"/>
    <s v="Laptop"/>
    <x v="1"/>
    <n v="20"/>
    <n v="25840"/>
    <n v="19380"/>
  </r>
  <r>
    <s v="2025-05-19"/>
    <s v="East"/>
    <s v="Laptop"/>
    <x v="1"/>
    <n v="10"/>
    <n v="6420"/>
    <n v="3595"/>
  </r>
  <r>
    <s v="2025-01-07"/>
    <s v="South"/>
    <s v="Laptop"/>
    <x v="1"/>
    <n v="2"/>
    <n v="1518"/>
    <n v="956"/>
  </r>
  <r>
    <s v="2025-01-14"/>
    <s v="North"/>
    <s v="Mobile"/>
    <x v="2"/>
    <n v="18"/>
    <n v="23274"/>
    <n v="15360"/>
  </r>
  <r>
    <s v="2025-03-25"/>
    <s v="East"/>
    <s v="Mobile"/>
    <x v="2"/>
    <n v="1"/>
    <n v="662"/>
    <n v="483"/>
  </r>
  <r>
    <s v="2025-06-15"/>
    <s v="North"/>
    <s v="Accessory"/>
    <x v="0"/>
    <n v="4"/>
    <n v="4000"/>
    <n v="2960"/>
  </r>
  <r>
    <s v="2025-04-28"/>
    <s v="South"/>
    <s v="Mobile"/>
    <x v="4"/>
    <n v="5"/>
    <n v="5655"/>
    <n v="3336"/>
  </r>
  <r>
    <s v="2025-01-31"/>
    <s v="East"/>
    <s v="Tablet"/>
    <x v="1"/>
    <n v="7"/>
    <n v="3689"/>
    <n v="2951"/>
  </r>
  <r>
    <s v="2025-03-25"/>
    <s v="North"/>
    <s v="Accessory"/>
    <x v="5"/>
    <n v="6"/>
    <n v="3918"/>
    <n v="2311"/>
  </r>
  <r>
    <s v="2025-01-20"/>
    <s v="North"/>
    <s v="Tablet"/>
    <x v="5"/>
    <n v="17"/>
    <n v="10574"/>
    <n v="5498"/>
  </r>
  <r>
    <s v="2025-05-02"/>
    <s v="East"/>
    <s v="Laptop"/>
    <x v="0"/>
    <n v="4"/>
    <n v="7104"/>
    <n v="4830"/>
  </r>
  <r>
    <s v="2025-05-10"/>
    <s v="West"/>
    <s v="Accessory"/>
    <x v="4"/>
    <n v="5"/>
    <n v="9565"/>
    <n v="7078"/>
  </r>
  <r>
    <s v="2025-05-18"/>
    <s v="South"/>
    <s v="Accessory"/>
    <x v="2"/>
    <n v="10"/>
    <n v="5360"/>
    <n v="2787"/>
  </r>
  <r>
    <s v="2025-06-16"/>
    <s v="North"/>
    <s v="Laptop"/>
    <x v="5"/>
    <n v="10"/>
    <n v="6450"/>
    <n v="4515"/>
  </r>
  <r>
    <s v="2025-02-26"/>
    <s v="South"/>
    <s v="Mobile"/>
    <x v="4"/>
    <n v="17"/>
    <n v="9129"/>
    <n v="5568"/>
  </r>
  <r>
    <s v="2025-06-01"/>
    <s v="South"/>
    <s v="Tablet"/>
    <x v="2"/>
    <n v="18"/>
    <n v="32742"/>
    <n v="23574"/>
  </r>
  <r>
    <s v="2025-06-22"/>
    <s v="North"/>
    <s v="Accessory"/>
    <x v="0"/>
    <n v="17"/>
    <n v="8602"/>
    <n v="6881"/>
  </r>
  <r>
    <s v="2025-06-02"/>
    <s v="East"/>
    <s v="Accessory"/>
    <x v="2"/>
    <n v="9"/>
    <n v="16488"/>
    <n v="9068"/>
  </r>
  <r>
    <s v="2025-02-12"/>
    <s v="South"/>
    <s v="Mobile"/>
    <x v="4"/>
    <n v="9"/>
    <n v="14850"/>
    <n v="9949"/>
  </r>
  <r>
    <s v="2025-01-28"/>
    <s v="North"/>
    <s v="Accessory"/>
    <x v="5"/>
    <n v="11"/>
    <n v="21285"/>
    <n v="12345"/>
  </r>
  <r>
    <s v="2025-06-29"/>
    <s v="North"/>
    <s v="Accessory"/>
    <x v="2"/>
    <n v="19"/>
    <n v="10735"/>
    <n v="5367"/>
  </r>
  <r>
    <s v="2025-02-07"/>
    <s v="West"/>
    <s v="Mobile"/>
    <x v="2"/>
    <n v="7"/>
    <n v="7980"/>
    <n v="6144"/>
  </r>
  <r>
    <s v="2025-02-11"/>
    <s v="South"/>
    <s v="Tablet"/>
    <x v="4"/>
    <n v="3"/>
    <n v="1593"/>
    <n v="1067"/>
  </r>
  <r>
    <s v="2025-04-15"/>
    <s v="South"/>
    <s v="Mobile"/>
    <x v="0"/>
    <n v="15"/>
    <n v="22170"/>
    <n v="12415"/>
  </r>
  <r>
    <s v="2025-05-18"/>
    <s v="North"/>
    <s v="Accessory"/>
    <x v="3"/>
    <n v="6"/>
    <n v="6174"/>
    <n v="4013"/>
  </r>
  <r>
    <s v="2025-04-03"/>
    <s v="West"/>
    <s v="Tablet"/>
    <x v="1"/>
    <n v="10"/>
    <n v="13060"/>
    <n v="9925"/>
  </r>
  <r>
    <s v="2025-05-03"/>
    <s v="North"/>
    <s v="Accessory"/>
    <x v="0"/>
    <n v="8"/>
    <n v="10664"/>
    <n v="7144"/>
  </r>
  <r>
    <s v="2025-04-11"/>
    <s v="North"/>
    <s v="Laptop"/>
    <x v="5"/>
    <n v="7"/>
    <n v="13979"/>
    <n v="10344"/>
  </r>
  <r>
    <s v="2025-04-23"/>
    <s v="North"/>
    <s v="Accessory"/>
    <x v="1"/>
    <n v="4"/>
    <n v="6576"/>
    <n v="4274"/>
  </r>
  <r>
    <s v="2025-02-22"/>
    <s v="East"/>
    <s v="Laptop"/>
    <x v="2"/>
    <n v="20"/>
    <n v="25080"/>
    <n v="15298"/>
  </r>
  <r>
    <s v="2025-02-01"/>
    <s v="South"/>
    <s v="Mobile"/>
    <x v="2"/>
    <n v="4"/>
    <n v="3308"/>
    <n v="2249"/>
  </r>
  <r>
    <s v="2025-05-05"/>
    <s v="North"/>
    <s v="Accessory"/>
    <x v="5"/>
    <n v="15"/>
    <n v="23355"/>
    <n v="15647"/>
  </r>
  <r>
    <s v="2025-02-08"/>
    <s v="West"/>
    <s v="Tablet"/>
    <x v="4"/>
    <n v="4"/>
    <n v="6764"/>
    <n v="4261"/>
  </r>
  <r>
    <s v="2025-05-23"/>
    <s v="East"/>
    <s v="Mobile"/>
    <x v="1"/>
    <n v="5"/>
    <n v="7285"/>
    <n v="4298"/>
  </r>
  <r>
    <s v="2025-01-24"/>
    <s v="East"/>
    <s v="Accessory"/>
    <x v="1"/>
    <n v="10"/>
    <n v="13160"/>
    <n v="7369"/>
  </r>
  <r>
    <s v="2025-06-30"/>
    <s v="North"/>
    <s v="Accessory"/>
    <x v="1"/>
    <n v="18"/>
    <n v="17802"/>
    <n v="14241"/>
  </r>
  <r>
    <s v="2025-05-06"/>
    <s v="West"/>
    <s v="Laptop"/>
    <x v="1"/>
    <n v="7"/>
    <n v="4459"/>
    <n v="3388"/>
  </r>
  <r>
    <s v="2025-01-18"/>
    <s v="East"/>
    <s v="Accessory"/>
    <x v="4"/>
    <n v="9"/>
    <n v="14139"/>
    <n v="9190"/>
  </r>
  <r>
    <s v="2025-06-07"/>
    <s v="South"/>
    <s v="Tablet"/>
    <x v="3"/>
    <n v="6"/>
    <n v="5688"/>
    <n v="3014"/>
  </r>
  <r>
    <s v="2025-06-26"/>
    <s v="West"/>
    <s v="Laptop"/>
    <x v="5"/>
    <n v="19"/>
    <n v="33421"/>
    <n v="19049"/>
  </r>
  <r>
    <s v="2025-05-22"/>
    <s v="West"/>
    <s v="Tablet"/>
    <x v="1"/>
    <n v="16"/>
    <n v="28624"/>
    <n v="22612"/>
  </r>
  <r>
    <s v="2025-01-27"/>
    <s v="South"/>
    <s v="Tablet"/>
    <x v="5"/>
    <n v="1"/>
    <n v="1786"/>
    <n v="1035"/>
  </r>
  <r>
    <s v="2025-04-29"/>
    <s v="West"/>
    <s v="Mobile"/>
    <x v="0"/>
    <n v="14"/>
    <n v="18144"/>
    <n v="12156"/>
  </r>
  <r>
    <s v="2025-04-19"/>
    <s v="South"/>
    <s v="Tablet"/>
    <x v="3"/>
    <n v="20"/>
    <n v="38240"/>
    <n v="24856"/>
  </r>
  <r>
    <s v="2025-05-21"/>
    <s v="North"/>
    <s v="Mobile"/>
    <x v="4"/>
    <n v="16"/>
    <n v="16944"/>
    <n v="10335"/>
  </r>
  <r>
    <s v="2025-01-25"/>
    <s v="West"/>
    <s v="Tablet"/>
    <x v="5"/>
    <n v="5"/>
    <n v="9205"/>
    <n v="5062"/>
  </r>
  <r>
    <s v="2025-01-29"/>
    <s v="East"/>
    <s v="Mobile"/>
    <x v="3"/>
    <n v="15"/>
    <n v="23955"/>
    <n v="13175"/>
  </r>
  <r>
    <s v="2025-06-10"/>
    <s v="East"/>
    <s v="Mobile"/>
    <x v="1"/>
    <n v="2"/>
    <n v="3912"/>
    <n v="2777"/>
  </r>
  <r>
    <s v="2025-01-19"/>
    <s v="East"/>
    <s v="Tablet"/>
    <x v="1"/>
    <n v="8"/>
    <n v="4984"/>
    <n v="3189"/>
  </r>
  <r>
    <s v="2025-05-07"/>
    <s v="East"/>
    <s v="Mobile"/>
    <x v="5"/>
    <n v="17"/>
    <n v="20536"/>
    <n v="13759"/>
  </r>
  <r>
    <s v="2025-03-03"/>
    <s v="South"/>
    <s v="Tablet"/>
    <x v="2"/>
    <n v="10"/>
    <n v="7700"/>
    <n v="4081"/>
  </r>
  <r>
    <s v="2025-06-19"/>
    <s v="North"/>
    <s v="Mobile"/>
    <x v="0"/>
    <n v="11"/>
    <n v="19822"/>
    <n v="12289"/>
  </r>
  <r>
    <s v="2025-06-21"/>
    <s v="West"/>
    <s v="Mobile"/>
    <x v="4"/>
    <n v="8"/>
    <n v="13512"/>
    <n v="10134"/>
  </r>
  <r>
    <s v="2025-02-21"/>
    <s v="South"/>
    <s v="Mobile"/>
    <x v="2"/>
    <n v="10"/>
    <n v="18190"/>
    <n v="11277"/>
  </r>
  <r>
    <s v="2025-02-09"/>
    <s v="North"/>
    <s v="Tablet"/>
    <x v="2"/>
    <n v="18"/>
    <n v="18054"/>
    <n v="10290"/>
  </r>
  <r>
    <s v="2025-02-10"/>
    <s v="East"/>
    <s v="Laptop"/>
    <x v="1"/>
    <n v="18"/>
    <n v="30546"/>
    <n v="19243"/>
  </r>
  <r>
    <s v="2025-01-13"/>
    <s v="East"/>
    <s v="Mobile"/>
    <x v="2"/>
    <n v="8"/>
    <n v="10112"/>
    <n v="5561"/>
  </r>
  <r>
    <s v="2025-05-26"/>
    <s v="East"/>
    <s v="Mobile"/>
    <x v="4"/>
    <n v="7"/>
    <n v="8946"/>
    <n v="5099"/>
  </r>
  <r>
    <s v="2025-03-27"/>
    <s v="North"/>
    <s v="Accessory"/>
    <x v="0"/>
    <n v="19"/>
    <n v="34808"/>
    <n v="18796"/>
  </r>
  <r>
    <s v="2025-03-22"/>
    <s v="East"/>
    <s v="Tablet"/>
    <x v="1"/>
    <n v="12"/>
    <n v="12600"/>
    <n v="7938"/>
  </r>
  <r>
    <s v="2025-05-15"/>
    <s v="South"/>
    <s v="Tablet"/>
    <x v="1"/>
    <n v="12"/>
    <n v="10608"/>
    <n v="7213"/>
  </r>
  <r>
    <s v="2025-02-20"/>
    <s v="East"/>
    <s v="Tablet"/>
    <x v="2"/>
    <n v="3"/>
    <n v="2517"/>
    <n v="1912"/>
  </r>
  <r>
    <s v="2025-05-16"/>
    <s v="East"/>
    <s v="Tablet"/>
    <x v="0"/>
    <n v="17"/>
    <n v="12002"/>
    <n v="7921"/>
  </r>
  <r>
    <s v="2025-02-19"/>
    <s v="North"/>
    <s v="Laptop"/>
    <x v="5"/>
    <n v="6"/>
    <n v="10206"/>
    <n v="6735"/>
  </r>
  <r>
    <s v="2025-02-06"/>
    <s v="East"/>
    <s v="Tablet"/>
    <x v="2"/>
    <n v="16"/>
    <n v="27104"/>
    <n v="14636"/>
  </r>
  <r>
    <s v="2025-06-22"/>
    <s v="East"/>
    <s v="Tablet"/>
    <x v="2"/>
    <n v="16"/>
    <n v="17568"/>
    <n v="13176"/>
  </r>
  <r>
    <s v="2025-04-29"/>
    <s v="North"/>
    <s v="Accessory"/>
    <x v="5"/>
    <n v="12"/>
    <n v="17484"/>
    <n v="13637"/>
  </r>
  <r>
    <s v="2025-06-07"/>
    <s v="East"/>
    <s v="Accessory"/>
    <x v="1"/>
    <n v="19"/>
    <n v="37221"/>
    <n v="29776"/>
  </r>
  <r>
    <s v="2025-05-10"/>
    <s v="East"/>
    <s v="Accessory"/>
    <x v="0"/>
    <n v="16"/>
    <n v="22400"/>
    <n v="13216"/>
  </r>
  <r>
    <s v="2025-02-08"/>
    <s v="North"/>
    <s v="Accessory"/>
    <x v="2"/>
    <n v="6"/>
    <n v="5742"/>
    <n v="3043"/>
  </r>
  <r>
    <s v="2025-02-17"/>
    <s v="North"/>
    <s v="Laptop"/>
    <x v="4"/>
    <n v="18"/>
    <n v="9270"/>
    <n v="7045"/>
  </r>
  <r>
    <s v="2025-03-30"/>
    <s v="West"/>
    <s v="Laptop"/>
    <x v="2"/>
    <n v="6"/>
    <n v="8724"/>
    <n v="6194"/>
  </r>
  <r>
    <s v="2025-01-27"/>
    <s v="East"/>
    <s v="Mobile"/>
    <x v="2"/>
    <n v="10"/>
    <n v="19700"/>
    <n v="15760"/>
  </r>
  <r>
    <s v="2025-06-17"/>
    <s v="North"/>
    <s v="Laptop"/>
    <x v="0"/>
    <n v="18"/>
    <n v="21924"/>
    <n v="11619"/>
  </r>
  <r>
    <s v="2025-06-18"/>
    <s v="West"/>
    <s v="Tablet"/>
    <x v="3"/>
    <n v="3"/>
    <n v="2286"/>
    <n v="1691"/>
  </r>
  <r>
    <s v="2025-06-19"/>
    <s v="East"/>
    <s v="Tablet"/>
    <x v="1"/>
    <n v="1"/>
    <n v="893"/>
    <n v="705"/>
  </r>
  <r>
    <s v="2025-02-12"/>
    <s v="West"/>
    <s v="Accessory"/>
    <x v="3"/>
    <n v="11"/>
    <n v="12727"/>
    <n v="9672"/>
  </r>
  <r>
    <s v="2025-03-13"/>
    <s v="North"/>
    <s v="Mobile"/>
    <x v="2"/>
    <n v="8"/>
    <n v="8072"/>
    <n v="4358"/>
  </r>
  <r>
    <s v="2025-01-21"/>
    <s v="South"/>
    <s v="Laptop"/>
    <x v="1"/>
    <n v="20"/>
    <n v="32640"/>
    <n v="22195"/>
  </r>
  <r>
    <s v="2025-03-15"/>
    <s v="North"/>
    <s v="Accessory"/>
    <x v="5"/>
    <n v="11"/>
    <n v="9757"/>
    <n v="6342"/>
  </r>
  <r>
    <s v="2025-01-31"/>
    <s v="West"/>
    <s v="Tablet"/>
    <x v="1"/>
    <n v="17"/>
    <n v="8755"/>
    <n v="6566"/>
  </r>
  <r>
    <s v="2025-03-23"/>
    <s v="North"/>
    <s v="Accessory"/>
    <x v="5"/>
    <n v="10"/>
    <n v="9270"/>
    <n v="5932"/>
  </r>
  <r>
    <s v="2025-06-25"/>
    <s v="West"/>
    <s v="Accessory"/>
    <x v="0"/>
    <n v="5"/>
    <n v="9105"/>
    <n v="5463"/>
  </r>
  <r>
    <s v="2025-03-31"/>
    <s v="South"/>
    <s v="Accessory"/>
    <x v="4"/>
    <n v="19"/>
    <n v="25612"/>
    <n v="14086"/>
  </r>
  <r>
    <s v="2025-04-27"/>
    <s v="North"/>
    <s v="Accessory"/>
    <x v="4"/>
    <n v="11"/>
    <n v="21208"/>
    <n v="11028"/>
  </r>
  <r>
    <s v="2025-04-08"/>
    <s v="East"/>
    <s v="Laptop"/>
    <x v="4"/>
    <n v="9"/>
    <n v="17892"/>
    <n v="13419"/>
  </r>
  <r>
    <s v="2025-01-06"/>
    <s v="East"/>
    <s v="Accessory"/>
    <x v="5"/>
    <n v="20"/>
    <n v="31000"/>
    <n v="19220"/>
  </r>
  <r>
    <s v="2025-03-22"/>
    <s v="North"/>
    <s v="Laptop"/>
    <x v="0"/>
    <n v="13"/>
    <n v="11986"/>
    <n v="8869"/>
  </r>
  <r>
    <s v="2025-02-10"/>
    <s v="East"/>
    <s v="Tablet"/>
    <x v="5"/>
    <n v="17"/>
    <n v="16592"/>
    <n v="9125"/>
  </r>
  <r>
    <s v="2025-02-22"/>
    <s v="West"/>
    <s v="Laptop"/>
    <x v="4"/>
    <n v="4"/>
    <n v="4004"/>
    <n v="2042"/>
  </r>
  <r>
    <s v="2025-03-17"/>
    <s v="South"/>
    <s v="Mobile"/>
    <x v="4"/>
    <n v="7"/>
    <n v="6426"/>
    <n v="5012"/>
  </r>
  <r>
    <s v="2025-03-14"/>
    <s v="East"/>
    <s v="Mobile"/>
    <x v="2"/>
    <n v="2"/>
    <n v="1782"/>
    <n v="1318"/>
  </r>
  <r>
    <s v="2025-06-20"/>
    <s v="North"/>
    <s v="Laptop"/>
    <x v="3"/>
    <n v="19"/>
    <n v="29602"/>
    <n v="15985"/>
  </r>
  <r>
    <s v="2025-01-04"/>
    <s v="North"/>
    <s v="Laptop"/>
    <x v="4"/>
    <n v="17"/>
    <n v="14467"/>
    <n v="7522"/>
  </r>
  <r>
    <s v="2025-06-04"/>
    <s v="West"/>
    <s v="Mobile"/>
    <x v="3"/>
    <n v="19"/>
    <n v="14022"/>
    <n v="9955"/>
  </r>
  <r>
    <s v="2025-03-08"/>
    <s v="West"/>
    <s v="Mobile"/>
    <x v="0"/>
    <n v="6"/>
    <n v="9486"/>
    <n v="6735"/>
  </r>
  <r>
    <s v="2025-04-17"/>
    <s v="West"/>
    <s v="Accessory"/>
    <x v="2"/>
    <n v="11"/>
    <n v="21681"/>
    <n v="16911"/>
  </r>
  <r>
    <s v="2025-01-30"/>
    <s v="East"/>
    <s v="Mobile"/>
    <x v="0"/>
    <n v="11"/>
    <n v="16379"/>
    <n v="10154"/>
  </r>
  <r>
    <s v="2025-04-01"/>
    <s v="East"/>
    <s v="Mobile"/>
    <x v="1"/>
    <n v="15"/>
    <n v="18840"/>
    <n v="13564"/>
  </r>
  <r>
    <s v="2025-01-28"/>
    <s v="North"/>
    <s v="Accessory"/>
    <x v="2"/>
    <n v="10"/>
    <n v="11650"/>
    <n v="8621"/>
  </r>
  <r>
    <s v="2025-05-21"/>
    <s v="South"/>
    <s v="Tablet"/>
    <x v="4"/>
    <n v="18"/>
    <n v="13068"/>
    <n v="9408"/>
  </r>
  <r>
    <s v="2025-02-21"/>
    <s v="North"/>
    <s v="Tablet"/>
    <x v="1"/>
    <n v="8"/>
    <n v="9272"/>
    <n v="7139"/>
  </r>
  <r>
    <s v="2025-03-23"/>
    <s v="South"/>
    <s v="Mobile"/>
    <x v="1"/>
    <n v="11"/>
    <n v="5863"/>
    <n v="3810"/>
  </r>
  <r>
    <s v="2025-02-26"/>
    <s v="West"/>
    <s v="Tablet"/>
    <x v="2"/>
    <n v="16"/>
    <n v="25904"/>
    <n v="20723"/>
  </r>
  <r>
    <s v="2025-05-09"/>
    <s v="North"/>
    <s v="Mobile"/>
    <x v="4"/>
    <n v="14"/>
    <n v="19754"/>
    <n v="13432"/>
  </r>
  <r>
    <s v="2025-02-06"/>
    <s v="East"/>
    <s v="Laptop"/>
    <x v="5"/>
    <n v="19"/>
    <n v="35169"/>
    <n v="22156"/>
  </r>
  <r>
    <s v="2025-05-22"/>
    <s v="East"/>
    <s v="Laptop"/>
    <x v="0"/>
    <n v="19"/>
    <n v="14649"/>
    <n v="9814"/>
  </r>
  <r>
    <s v="2025-02-18"/>
    <s v="South"/>
    <s v="Accessory"/>
    <x v="0"/>
    <n v="11"/>
    <n v="10109"/>
    <n v="6773"/>
  </r>
  <r>
    <s v="2025-02-09"/>
    <s v="South"/>
    <s v="Laptop"/>
    <x v="0"/>
    <n v="1"/>
    <n v="1119"/>
    <n v="581"/>
  </r>
  <r>
    <s v="2025-02-22"/>
    <s v="South"/>
    <s v="Laptop"/>
    <x v="2"/>
    <n v="19"/>
    <n v="19361"/>
    <n v="11229"/>
  </r>
  <r>
    <s v="2025-02-22"/>
    <s v="West"/>
    <s v="Tablet"/>
    <x v="4"/>
    <n v="15"/>
    <n v="11700"/>
    <n v="6435"/>
  </r>
  <r>
    <s v="2025-06-14"/>
    <s v="West"/>
    <s v="Tablet"/>
    <x v="3"/>
    <n v="20"/>
    <n v="18340"/>
    <n v="10087"/>
  </r>
  <r>
    <s v="2025-02-21"/>
    <s v="North"/>
    <s v="Mobile"/>
    <x v="2"/>
    <n v="6"/>
    <n v="9348"/>
    <n v="5328"/>
  </r>
  <r>
    <s v="2025-06-27"/>
    <s v="North"/>
    <s v="Laptop"/>
    <x v="1"/>
    <n v="8"/>
    <n v="11200"/>
    <n v="7280"/>
  </r>
  <r>
    <s v="2025-01-04"/>
    <s v="East"/>
    <s v="Tablet"/>
    <x v="1"/>
    <n v="19"/>
    <n v="18582"/>
    <n v="11706"/>
  </r>
  <r>
    <s v="2025-04-08"/>
    <s v="West"/>
    <s v="Tablet"/>
    <x v="5"/>
    <n v="12"/>
    <n v="19836"/>
    <n v="15472"/>
  </r>
  <r>
    <s v="2025-03-21"/>
    <s v="East"/>
    <s v="Mobile"/>
    <x v="1"/>
    <n v="13"/>
    <n v="8177"/>
    <n v="4252"/>
  </r>
  <r>
    <s v="2025-01-23"/>
    <s v="East"/>
    <s v="Mobile"/>
    <x v="2"/>
    <n v="19"/>
    <n v="14326"/>
    <n v="8452"/>
  </r>
  <r>
    <s v="2025-04-15"/>
    <s v="North"/>
    <s v="Accessory"/>
    <x v="1"/>
    <n v="18"/>
    <n v="34308"/>
    <n v="22643"/>
  </r>
  <r>
    <s v="2025-06-09"/>
    <s v="East"/>
    <s v="Accessory"/>
    <x v="3"/>
    <n v="8"/>
    <n v="6048"/>
    <n v="4354"/>
  </r>
  <r>
    <s v="2025-05-01"/>
    <s v="South"/>
    <s v="Tablet"/>
    <x v="3"/>
    <n v="6"/>
    <n v="10602"/>
    <n v="8163"/>
  </r>
  <r>
    <s v="2025-01-23"/>
    <s v="West"/>
    <s v="Accessory"/>
    <x v="1"/>
    <n v="7"/>
    <n v="9009"/>
    <n v="7027"/>
  </r>
  <r>
    <s v="2025-06-20"/>
    <s v="North"/>
    <s v="Laptop"/>
    <x v="3"/>
    <n v="12"/>
    <n v="9888"/>
    <n v="7317"/>
  </r>
  <r>
    <s v="2025-06-03"/>
    <s v="North"/>
    <s v="Accessory"/>
    <x v="1"/>
    <n v="15"/>
    <n v="8970"/>
    <n v="4574"/>
  </r>
  <r>
    <s v="2025-02-13"/>
    <s v="East"/>
    <s v="Tablet"/>
    <x v="1"/>
    <n v="9"/>
    <n v="7209"/>
    <n v="3892"/>
  </r>
  <r>
    <s v="2025-03-29"/>
    <s v="North"/>
    <s v="Laptop"/>
    <x v="0"/>
    <n v="10"/>
    <n v="18090"/>
    <n v="10492"/>
  </r>
  <r>
    <s v="2025-02-17"/>
    <s v="West"/>
    <s v="Accessory"/>
    <x v="4"/>
    <n v="12"/>
    <n v="19896"/>
    <n v="15518"/>
  </r>
  <r>
    <s v="2025-05-03"/>
    <s v="East"/>
    <s v="Accessory"/>
    <x v="1"/>
    <n v="17"/>
    <n v="20213"/>
    <n v="10308"/>
  </r>
  <r>
    <s v="2025-03-25"/>
    <s v="West"/>
    <s v="Accessory"/>
    <x v="2"/>
    <n v="15"/>
    <n v="12330"/>
    <n v="7891"/>
  </r>
  <r>
    <s v="2025-05-14"/>
    <s v="North"/>
    <s v="Mobile"/>
    <x v="2"/>
    <n v="7"/>
    <n v="9646"/>
    <n v="7138"/>
  </r>
  <r>
    <s v="2025-05-22"/>
    <s v="West"/>
    <s v="Mobile"/>
    <x v="2"/>
    <n v="7"/>
    <n v="5292"/>
    <n v="2963"/>
  </r>
  <r>
    <s v="2025-04-14"/>
    <s v="West"/>
    <s v="Tablet"/>
    <x v="2"/>
    <n v="12"/>
    <n v="17460"/>
    <n v="12745"/>
  </r>
  <r>
    <s v="2025-05-19"/>
    <s v="North"/>
    <s v="Mobile"/>
    <x v="1"/>
    <n v="8"/>
    <n v="15016"/>
    <n v="9760"/>
  </r>
  <r>
    <s v="2025-03-13"/>
    <s v="North"/>
    <s v="Accessory"/>
    <x v="1"/>
    <n v="14"/>
    <n v="26866"/>
    <n v="18000"/>
  </r>
  <r>
    <s v="2025-03-17"/>
    <s v="East"/>
    <s v="Mobile"/>
    <x v="0"/>
    <n v="6"/>
    <n v="11322"/>
    <n v="6113"/>
  </r>
  <r>
    <s v="2025-01-07"/>
    <s v="East"/>
    <s v="Mobile"/>
    <x v="0"/>
    <n v="15"/>
    <n v="28965"/>
    <n v="22592"/>
  </r>
  <r>
    <s v="2025-06-09"/>
    <s v="East"/>
    <s v="Accessory"/>
    <x v="5"/>
    <n v="18"/>
    <n v="11016"/>
    <n v="6389"/>
  </r>
  <r>
    <s v="2025-01-22"/>
    <s v="East"/>
    <s v="Mobile"/>
    <x v="4"/>
    <n v="10"/>
    <n v="6470"/>
    <n v="4076"/>
  </r>
  <r>
    <s v="2025-06-15"/>
    <s v="North"/>
    <s v="Accessory"/>
    <x v="3"/>
    <n v="18"/>
    <n v="28080"/>
    <n v="16567"/>
  </r>
  <r>
    <s v="2025-05-19"/>
    <s v="South"/>
    <s v="Accessory"/>
    <x v="2"/>
    <n v="19"/>
    <n v="22344"/>
    <n v="16981"/>
  </r>
  <r>
    <s v="2025-05-17"/>
    <s v="North"/>
    <s v="Tablet"/>
    <x v="1"/>
    <n v="17"/>
    <n v="22984"/>
    <n v="12871"/>
  </r>
  <r>
    <s v="2025-05-30"/>
    <s v="South"/>
    <s v="Laptop"/>
    <x v="1"/>
    <n v="5"/>
    <n v="4550"/>
    <n v="2502"/>
  </r>
  <r>
    <s v="2025-05-29"/>
    <s v="West"/>
    <s v="Tablet"/>
    <x v="4"/>
    <n v="18"/>
    <n v="14184"/>
    <n v="9219"/>
  </r>
  <r>
    <s v="2025-04-20"/>
    <s v="East"/>
    <s v="Mobile"/>
    <x v="2"/>
    <n v="4"/>
    <n v="3592"/>
    <n v="2155"/>
  </r>
  <r>
    <s v="2025-04-25"/>
    <s v="South"/>
    <s v="Mobile"/>
    <x v="2"/>
    <n v="3"/>
    <n v="3033"/>
    <n v="2183"/>
  </r>
  <r>
    <s v="2025-04-25"/>
    <s v="South"/>
    <s v="Mobile"/>
    <x v="4"/>
    <n v="20"/>
    <n v="22840"/>
    <n v="15531"/>
  </r>
  <r>
    <s v="2025-06-18"/>
    <s v="South"/>
    <s v="Tablet"/>
    <x v="4"/>
    <n v="2"/>
    <n v="1682"/>
    <n v="1194"/>
  </r>
  <r>
    <s v="2025-05-01"/>
    <s v="West"/>
    <s v="Accessory"/>
    <x v="3"/>
    <n v="6"/>
    <n v="9474"/>
    <n v="4831"/>
  </r>
  <r>
    <s v="2025-06-14"/>
    <s v="North"/>
    <s v="Mobile"/>
    <x v="2"/>
    <n v="17"/>
    <n v="16847"/>
    <n v="8928"/>
  </r>
  <r>
    <s v="2025-06-02"/>
    <s v="West"/>
    <s v="Mobile"/>
    <x v="0"/>
    <n v="7"/>
    <n v="4130"/>
    <n v="3014"/>
  </r>
  <r>
    <s v="2025-05-29"/>
    <s v="South"/>
    <s v="Laptop"/>
    <x v="5"/>
    <n v="1"/>
    <n v="509"/>
    <n v="285"/>
  </r>
  <r>
    <s v="2025-05-15"/>
    <s v="East"/>
    <s v="Accessory"/>
    <x v="0"/>
    <n v="1"/>
    <n v="1205"/>
    <n v="927"/>
  </r>
  <r>
    <s v="2025-04-01"/>
    <s v="North"/>
    <s v="Laptop"/>
    <x v="3"/>
    <n v="6"/>
    <n v="10332"/>
    <n v="7645"/>
  </r>
  <r>
    <s v="2025-01-26"/>
    <s v="North"/>
    <s v="Laptop"/>
    <x v="5"/>
    <n v="13"/>
    <n v="21554"/>
    <n v="13794"/>
  </r>
  <r>
    <s v="2025-03-01"/>
    <s v="West"/>
    <s v="Tablet"/>
    <x v="4"/>
    <n v="4"/>
    <n v="6248"/>
    <n v="4061"/>
  </r>
  <r>
    <s v="2025-05-05"/>
    <s v="East"/>
    <s v="Mobile"/>
    <x v="0"/>
    <n v="12"/>
    <n v="18048"/>
    <n v="9565"/>
  </r>
  <r>
    <s v="2025-06-24"/>
    <s v="North"/>
    <s v="Mobile"/>
    <x v="4"/>
    <n v="3"/>
    <n v="1935"/>
    <n v="1161"/>
  </r>
  <r>
    <s v="2025-04-16"/>
    <s v="West"/>
    <s v="Tablet"/>
    <x v="1"/>
    <n v="4"/>
    <n v="6404"/>
    <n v="3394"/>
  </r>
  <r>
    <s v="2025-05-17"/>
    <s v="South"/>
    <s v="Tablet"/>
    <x v="3"/>
    <n v="9"/>
    <n v="10548"/>
    <n v="8227"/>
  </r>
  <r>
    <s v="2025-04-29"/>
    <s v="West"/>
    <s v="Laptop"/>
    <x v="3"/>
    <n v="16"/>
    <n v="30432"/>
    <n v="23432"/>
  </r>
  <r>
    <s v="2025-06-11"/>
    <s v="South"/>
    <s v="Tablet"/>
    <x v="5"/>
    <n v="13"/>
    <n v="23530"/>
    <n v="13647"/>
  </r>
  <r>
    <s v="2025-03-08"/>
    <s v="West"/>
    <s v="Laptop"/>
    <x v="5"/>
    <n v="8"/>
    <n v="15064"/>
    <n v="9339"/>
  </r>
  <r>
    <s v="2025-01-07"/>
    <s v="West"/>
    <s v="Accessory"/>
    <x v="2"/>
    <n v="16"/>
    <n v="11632"/>
    <n v="6281"/>
  </r>
  <r>
    <s v="2025-05-01"/>
    <s v="North"/>
    <s v="Mobile"/>
    <x v="3"/>
    <n v="20"/>
    <n v="35200"/>
    <n v="18656"/>
  </r>
  <r>
    <s v="2025-01-26"/>
    <s v="East"/>
    <s v="Tablet"/>
    <x v="3"/>
    <n v="18"/>
    <n v="26964"/>
    <n v="14290"/>
  </r>
  <r>
    <s v="2025-06-15"/>
    <s v="South"/>
    <s v="Mobile"/>
    <x v="2"/>
    <n v="4"/>
    <n v="2928"/>
    <n v="2137"/>
  </r>
  <r>
    <s v="2025-02-13"/>
    <s v="South"/>
    <s v="Mobile"/>
    <x v="0"/>
    <n v="8"/>
    <n v="15776"/>
    <n v="8519"/>
  </r>
  <r>
    <s v="2025-01-17"/>
    <s v="East"/>
    <s v="Mobile"/>
    <x v="1"/>
    <n v="18"/>
    <n v="15444"/>
    <n v="7876"/>
  </r>
  <r>
    <s v="2025-06-05"/>
    <s v="East"/>
    <s v="Mobile"/>
    <x v="0"/>
    <n v="11"/>
    <n v="9361"/>
    <n v="6178"/>
  </r>
  <r>
    <s v="2025-01-05"/>
    <s v="West"/>
    <s v="Tablet"/>
    <x v="3"/>
    <n v="11"/>
    <n v="5709"/>
    <n v="4338"/>
  </r>
  <r>
    <s v="2025-05-03"/>
    <s v="West"/>
    <s v="Laptop"/>
    <x v="3"/>
    <n v="6"/>
    <n v="8844"/>
    <n v="6721"/>
  </r>
  <r>
    <s v="2025-02-19"/>
    <s v="North"/>
    <s v="Tablet"/>
    <x v="1"/>
    <n v="5"/>
    <n v="4775"/>
    <n v="3676"/>
  </r>
  <r>
    <s v="2025-06-27"/>
    <s v="West"/>
    <s v="Tablet"/>
    <x v="1"/>
    <n v="8"/>
    <n v="8952"/>
    <n v="5729"/>
  </r>
  <r>
    <s v="2025-03-24"/>
    <s v="East"/>
    <s v="Accessory"/>
    <x v="4"/>
    <n v="17"/>
    <n v="19244"/>
    <n v="14433"/>
  </r>
  <r>
    <s v="2025-04-05"/>
    <s v="North"/>
    <s v="Tablet"/>
    <x v="4"/>
    <n v="16"/>
    <n v="16624"/>
    <n v="11304"/>
  </r>
  <r>
    <s v="2025-04-18"/>
    <s v="South"/>
    <s v="Mobile"/>
    <x v="4"/>
    <n v="16"/>
    <n v="17376"/>
    <n v="13727"/>
  </r>
  <r>
    <s v="2025-06-06"/>
    <s v="West"/>
    <s v="Tablet"/>
    <x v="5"/>
    <n v="9"/>
    <n v="6057"/>
    <n v="3634"/>
  </r>
  <r>
    <s v="2025-03-06"/>
    <s v="South"/>
    <s v="Mobile"/>
    <x v="1"/>
    <n v="16"/>
    <n v="21040"/>
    <n v="12834"/>
  </r>
  <r>
    <s v="2025-03-29"/>
    <s v="West"/>
    <s v="Laptop"/>
    <x v="1"/>
    <n v="2"/>
    <n v="2742"/>
    <n v="1562"/>
  </r>
  <r>
    <s v="2025-03-25"/>
    <s v="East"/>
    <s v="Tablet"/>
    <x v="4"/>
    <n v="8"/>
    <n v="14408"/>
    <n v="10229"/>
  </r>
  <r>
    <s v="2025-03-09"/>
    <s v="South"/>
    <s v="Accessory"/>
    <x v="1"/>
    <n v="3"/>
    <n v="3858"/>
    <n v="2160"/>
  </r>
  <r>
    <s v="2025-04-09"/>
    <s v="West"/>
    <s v="Laptop"/>
    <x v="1"/>
    <n v="12"/>
    <n v="12168"/>
    <n v="8882"/>
  </r>
  <r>
    <s v="2025-06-01"/>
    <s v="North"/>
    <s v="Tablet"/>
    <x v="3"/>
    <n v="17"/>
    <n v="12121"/>
    <n v="9575"/>
  </r>
  <r>
    <s v="2025-06-10"/>
    <s v="South"/>
    <s v="Accessory"/>
    <x v="3"/>
    <n v="13"/>
    <n v="15535"/>
    <n v="9631"/>
  </r>
  <r>
    <s v="2025-04-09"/>
    <s v="East"/>
    <s v="Laptop"/>
    <x v="1"/>
    <n v="16"/>
    <n v="20880"/>
    <n v="13572"/>
  </r>
  <r>
    <s v="2025-01-18"/>
    <s v="West"/>
    <s v="Tablet"/>
    <x v="5"/>
    <n v="4"/>
    <n v="2004"/>
    <n v="1402"/>
  </r>
  <r>
    <s v="2025-04-29"/>
    <s v="East"/>
    <s v="Accessory"/>
    <x v="4"/>
    <n v="14"/>
    <n v="21812"/>
    <n v="14614"/>
  </r>
  <r>
    <s v="2025-01-09"/>
    <s v="West"/>
    <s v="Laptop"/>
    <x v="4"/>
    <n v="17"/>
    <n v="20468"/>
    <n v="14736"/>
  </r>
  <r>
    <s v="2025-05-19"/>
    <s v="East"/>
    <s v="Tablet"/>
    <x v="5"/>
    <n v="13"/>
    <n v="20644"/>
    <n v="12592"/>
  </r>
  <r>
    <s v="2025-01-14"/>
    <s v="West"/>
    <s v="Accessory"/>
    <x v="0"/>
    <n v="12"/>
    <n v="20928"/>
    <n v="14440"/>
  </r>
  <r>
    <s v="2025-02-10"/>
    <s v="West"/>
    <s v="Laptop"/>
    <x v="0"/>
    <n v="20"/>
    <n v="27140"/>
    <n v="18998"/>
  </r>
  <r>
    <s v="2025-03-11"/>
    <s v="East"/>
    <s v="Accessory"/>
    <x v="4"/>
    <n v="1"/>
    <n v="958"/>
    <n v="555"/>
  </r>
  <r>
    <s v="2025-06-29"/>
    <s v="North"/>
    <s v="Tablet"/>
    <x v="3"/>
    <n v="20"/>
    <n v="38700"/>
    <n v="28638"/>
  </r>
  <r>
    <s v="2025-05-30"/>
    <s v="West"/>
    <s v="Accessory"/>
    <x v="4"/>
    <n v="8"/>
    <n v="6288"/>
    <n v="4653"/>
  </r>
  <r>
    <s v="2025-06-16"/>
    <s v="West"/>
    <s v="Tablet"/>
    <x v="2"/>
    <n v="16"/>
    <n v="31424"/>
    <n v="16654"/>
  </r>
  <r>
    <s v="2025-02-08"/>
    <s v="East"/>
    <s v="Mobile"/>
    <x v="2"/>
    <n v="10"/>
    <n v="5160"/>
    <n v="3715"/>
  </r>
  <r>
    <s v="2025-06-20"/>
    <s v="East"/>
    <s v="Tablet"/>
    <x v="5"/>
    <n v="3"/>
    <n v="2298"/>
    <n v="1332"/>
  </r>
  <r>
    <s v="2025-04-16"/>
    <s v="South"/>
    <s v="Tablet"/>
    <x v="1"/>
    <n v="19"/>
    <n v="36176"/>
    <n v="23152"/>
  </r>
  <r>
    <s v="2025-06-26"/>
    <s v="North"/>
    <s v="Laptop"/>
    <x v="2"/>
    <n v="11"/>
    <n v="11847"/>
    <n v="8292"/>
  </r>
  <r>
    <s v="2025-06-24"/>
    <s v="South"/>
    <s v="Accessory"/>
    <x v="0"/>
    <n v="4"/>
    <n v="3356"/>
    <n v="2382"/>
  </r>
  <r>
    <s v="2025-06-21"/>
    <s v="West"/>
    <s v="Tablet"/>
    <x v="1"/>
    <n v="7"/>
    <n v="9681"/>
    <n v="5324"/>
  </r>
  <r>
    <s v="2025-01-03"/>
    <s v="West"/>
    <s v="Mobile"/>
    <x v="3"/>
    <n v="8"/>
    <n v="4696"/>
    <n v="3334"/>
  </r>
  <r>
    <s v="2025-01-23"/>
    <s v="North"/>
    <s v="Tablet"/>
    <x v="2"/>
    <n v="14"/>
    <n v="19502"/>
    <n v="12481"/>
  </r>
  <r>
    <s v="2025-06-05"/>
    <s v="South"/>
    <s v="Tablet"/>
    <x v="2"/>
    <n v="1"/>
    <n v="871"/>
    <n v="505"/>
  </r>
  <r>
    <s v="2025-02-27"/>
    <s v="East"/>
    <s v="Laptop"/>
    <x v="3"/>
    <n v="18"/>
    <n v="23004"/>
    <n v="11502"/>
  </r>
  <r>
    <s v="2025-03-05"/>
    <s v="East"/>
    <s v="Laptop"/>
    <x v="4"/>
    <n v="1"/>
    <n v="702"/>
    <n v="393"/>
  </r>
  <r>
    <s v="2025-06-12"/>
    <s v="West"/>
    <s v="Accessory"/>
    <x v="3"/>
    <n v="19"/>
    <n v="28747"/>
    <n v="20985"/>
  </r>
  <r>
    <s v="2025-02-19"/>
    <s v="West"/>
    <s v="Laptop"/>
    <x v="4"/>
    <n v="14"/>
    <n v="11354"/>
    <n v="8969"/>
  </r>
  <r>
    <s v="2025-02-05"/>
    <s v="South"/>
    <s v="Tablet"/>
    <x v="2"/>
    <n v="14"/>
    <n v="11648"/>
    <n v="8968"/>
  </r>
  <r>
    <s v="2025-02-02"/>
    <s v="North"/>
    <s v="Accessory"/>
    <x v="2"/>
    <n v="17"/>
    <n v="28152"/>
    <n v="18298"/>
  </r>
  <r>
    <s v="2025-01-23"/>
    <s v="East"/>
    <s v="Accessory"/>
    <x v="5"/>
    <n v="19"/>
    <n v="15333"/>
    <n v="11346"/>
  </r>
  <r>
    <s v="2025-01-31"/>
    <s v="South"/>
    <s v="Mobile"/>
    <x v="2"/>
    <n v="14"/>
    <n v="11900"/>
    <n v="9044"/>
  </r>
  <r>
    <s v="2025-02-01"/>
    <s v="North"/>
    <s v="Tablet"/>
    <x v="4"/>
    <n v="9"/>
    <n v="17046"/>
    <n v="9034"/>
  </r>
  <r>
    <s v="2025-05-22"/>
    <s v="South"/>
    <s v="Accessory"/>
    <x v="2"/>
    <n v="6"/>
    <n v="3030"/>
    <n v="2181"/>
  </r>
  <r>
    <s v="2025-02-02"/>
    <s v="West"/>
    <s v="Mobile"/>
    <x v="2"/>
    <n v="6"/>
    <n v="6126"/>
    <n v="3736"/>
  </r>
  <r>
    <s v="2025-05-16"/>
    <s v="East"/>
    <s v="Tablet"/>
    <x v="4"/>
    <n v="14"/>
    <n v="8372"/>
    <n v="6530"/>
  </r>
  <r>
    <s v="2025-01-20"/>
    <s v="North"/>
    <s v="Laptop"/>
    <x v="5"/>
    <n v="17"/>
    <n v="16881"/>
    <n v="9790"/>
  </r>
  <r>
    <s v="2025-06-02"/>
    <s v="North"/>
    <s v="Mobile"/>
    <x v="1"/>
    <n v="2"/>
    <n v="1496"/>
    <n v="987"/>
  </r>
  <r>
    <s v="2025-02-05"/>
    <s v="East"/>
    <s v="Tablet"/>
    <x v="2"/>
    <n v="14"/>
    <n v="18046"/>
    <n v="9564"/>
  </r>
  <r>
    <s v="2025-06-11"/>
    <s v="East"/>
    <s v="Tablet"/>
    <x v="5"/>
    <n v="4"/>
    <n v="7376"/>
    <n v="5679"/>
  </r>
  <r>
    <s v="2025-02-15"/>
    <s v="North"/>
    <s v="Accessory"/>
    <x v="2"/>
    <n v="19"/>
    <n v="30609"/>
    <n v="23262"/>
  </r>
  <r>
    <s v="2025-05-05"/>
    <s v="West"/>
    <s v="Tablet"/>
    <x v="1"/>
    <n v="13"/>
    <n v="11596"/>
    <n v="6609"/>
  </r>
  <r>
    <s v="2025-06-03"/>
    <s v="South"/>
    <s v="Tablet"/>
    <x v="1"/>
    <n v="12"/>
    <n v="21420"/>
    <n v="15422"/>
  </r>
  <r>
    <s v="2025-04-26"/>
    <s v="South"/>
    <s v="Tablet"/>
    <x v="0"/>
    <n v="1"/>
    <n v="1785"/>
    <n v="1142"/>
  </r>
  <r>
    <s v="2025-01-29"/>
    <s v="North"/>
    <s v="Mobile"/>
    <x v="0"/>
    <n v="14"/>
    <n v="11662"/>
    <n v="8513"/>
  </r>
  <r>
    <s v="2025-05-27"/>
    <s v="North"/>
    <s v="Tablet"/>
    <x v="4"/>
    <n v="9"/>
    <n v="6921"/>
    <n v="4706"/>
  </r>
  <r>
    <s v="2025-01-03"/>
    <s v="West"/>
    <s v="Laptop"/>
    <x v="0"/>
    <n v="3"/>
    <n v="5004"/>
    <n v="3502"/>
  </r>
  <r>
    <s v="2025-06-05"/>
    <s v="West"/>
    <s v="Accessory"/>
    <x v="4"/>
    <n v="4"/>
    <n v="7444"/>
    <n v="4317"/>
  </r>
  <r>
    <s v="2025-05-21"/>
    <s v="West"/>
    <s v="Accessory"/>
    <x v="5"/>
    <n v="6"/>
    <n v="8706"/>
    <n v="5658"/>
  </r>
  <r>
    <s v="2025-04-30"/>
    <s v="South"/>
    <s v="Tablet"/>
    <x v="2"/>
    <n v="6"/>
    <n v="9234"/>
    <n v="6002"/>
  </r>
  <r>
    <s v="2025-03-27"/>
    <s v="West"/>
    <s v="Tablet"/>
    <x v="0"/>
    <n v="7"/>
    <n v="5299"/>
    <n v="2808"/>
  </r>
  <r>
    <s v="2025-06-05"/>
    <s v="North"/>
    <s v="Laptop"/>
    <x v="3"/>
    <n v="3"/>
    <n v="4068"/>
    <n v="2074"/>
  </r>
  <r>
    <s v="2025-04-11"/>
    <s v="West"/>
    <s v="Laptop"/>
    <x v="3"/>
    <n v="3"/>
    <n v="4965"/>
    <n v="3177"/>
  </r>
  <r>
    <s v="2025-01-29"/>
    <s v="East"/>
    <s v="Laptop"/>
    <x v="2"/>
    <n v="13"/>
    <n v="19773"/>
    <n v="11072"/>
  </r>
  <r>
    <s v="2025-01-19"/>
    <s v="South"/>
    <s v="Accessory"/>
    <x v="0"/>
    <n v="5"/>
    <n v="7485"/>
    <n v="4491"/>
  </r>
  <r>
    <s v="2025-02-19"/>
    <s v="North"/>
    <s v="Laptop"/>
    <x v="5"/>
    <n v="6"/>
    <n v="4704"/>
    <n v="2681"/>
  </r>
  <r>
    <s v="2025-04-18"/>
    <s v="North"/>
    <s v="Mobile"/>
    <x v="4"/>
    <n v="14"/>
    <n v="27020"/>
    <n v="14320"/>
  </r>
  <r>
    <s v="2025-03-09"/>
    <s v="South"/>
    <s v="Mobile"/>
    <x v="0"/>
    <n v="13"/>
    <n v="11037"/>
    <n v="6511"/>
  </r>
  <r>
    <s v="2025-05-01"/>
    <s v="South"/>
    <s v="Accessory"/>
    <x v="4"/>
    <n v="2"/>
    <n v="2436"/>
    <n v="1339"/>
  </r>
  <r>
    <s v="2025-02-16"/>
    <s v="East"/>
    <s v="Accessory"/>
    <x v="3"/>
    <n v="8"/>
    <n v="15032"/>
    <n v="10973"/>
  </r>
  <r>
    <s v="2025-04-07"/>
    <s v="North"/>
    <s v="Mobile"/>
    <x v="4"/>
    <n v="3"/>
    <n v="3927"/>
    <n v="2002"/>
  </r>
  <r>
    <s v="2025-01-25"/>
    <s v="South"/>
    <s v="Laptop"/>
    <x v="3"/>
    <n v="7"/>
    <n v="9289"/>
    <n v="6873"/>
  </r>
  <r>
    <s v="2025-02-13"/>
    <s v="East"/>
    <s v="Mobile"/>
    <x v="4"/>
    <n v="12"/>
    <n v="7644"/>
    <n v="5656"/>
  </r>
  <r>
    <s v="2025-02-01"/>
    <s v="South"/>
    <s v="Mobile"/>
    <x v="4"/>
    <n v="3"/>
    <n v="4338"/>
    <n v="3427"/>
  </r>
  <r>
    <s v="2025-06-25"/>
    <s v="West"/>
    <s v="Accessory"/>
    <x v="2"/>
    <n v="8"/>
    <n v="10360"/>
    <n v="7666"/>
  </r>
  <r>
    <s v="2025-05-05"/>
    <s v="South"/>
    <s v="Tablet"/>
    <x v="3"/>
    <n v="13"/>
    <n v="7709"/>
    <n v="4085"/>
  </r>
  <r>
    <s v="2025-03-29"/>
    <s v="North"/>
    <s v="Accessory"/>
    <x v="4"/>
    <n v="3"/>
    <n v="2700"/>
    <n v="2133"/>
  </r>
  <r>
    <s v="2025-05-08"/>
    <s v="West"/>
    <s v="Accessory"/>
    <x v="1"/>
    <n v="16"/>
    <n v="15888"/>
    <n v="12551"/>
  </r>
  <r>
    <s v="2025-06-12"/>
    <s v="North"/>
    <s v="Laptop"/>
    <x v="4"/>
    <n v="10"/>
    <n v="19710"/>
    <n v="14191"/>
  </r>
  <r>
    <s v="2025-06-19"/>
    <s v="North"/>
    <s v="Tablet"/>
    <x v="1"/>
    <n v="16"/>
    <n v="29504"/>
    <n v="16227"/>
  </r>
  <r>
    <s v="2025-01-01"/>
    <s v="East"/>
    <s v="Tablet"/>
    <x v="3"/>
    <n v="5"/>
    <n v="4920"/>
    <n v="3394"/>
  </r>
  <r>
    <s v="2025-06-09"/>
    <s v="North"/>
    <s v="Tablet"/>
    <x v="4"/>
    <n v="3"/>
    <n v="2889"/>
    <n v="1820"/>
  </r>
  <r>
    <s v="2025-06-04"/>
    <s v="South"/>
    <s v="Laptop"/>
    <x v="3"/>
    <n v="18"/>
    <n v="9900"/>
    <n v="7920"/>
  </r>
  <r>
    <s v="2025-03-21"/>
    <s v="South"/>
    <s v="Mobile"/>
    <x v="0"/>
    <n v="13"/>
    <n v="25896"/>
    <n v="14760"/>
  </r>
  <r>
    <s v="2025-01-20"/>
    <s v="West"/>
    <s v="Accessory"/>
    <x v="3"/>
    <n v="20"/>
    <n v="38440"/>
    <n v="26908"/>
  </r>
  <r>
    <s v="2025-04-16"/>
    <s v="North"/>
    <s v="Accessory"/>
    <x v="2"/>
    <n v="5"/>
    <n v="7225"/>
    <n v="4913"/>
  </r>
  <r>
    <s v="2025-06-02"/>
    <s v="South"/>
    <s v="Laptop"/>
    <x v="2"/>
    <n v="19"/>
    <n v="15200"/>
    <n v="10792"/>
  </r>
  <r>
    <s v="2025-02-01"/>
    <s v="North"/>
    <s v="Laptop"/>
    <x v="2"/>
    <n v="1"/>
    <n v="908"/>
    <n v="599"/>
  </r>
  <r>
    <s v="2025-01-18"/>
    <s v="North"/>
    <s v="Mobile"/>
    <x v="1"/>
    <n v="5"/>
    <n v="3035"/>
    <n v="1699"/>
  </r>
  <r>
    <s v="2025-03-12"/>
    <s v="North"/>
    <s v="Mobile"/>
    <x v="2"/>
    <n v="8"/>
    <n v="11544"/>
    <n v="8888"/>
  </r>
  <r>
    <s v="2025-05-27"/>
    <s v="West"/>
    <s v="Accessory"/>
    <x v="3"/>
    <n v="5"/>
    <n v="2950"/>
    <n v="1534"/>
  </r>
  <r>
    <s v="2025-03-30"/>
    <s v="South"/>
    <s v="Mobile"/>
    <x v="1"/>
    <n v="5"/>
    <n v="3180"/>
    <n v="2067"/>
  </r>
  <r>
    <s v="2025-03-26"/>
    <s v="East"/>
    <s v="Accessory"/>
    <x v="5"/>
    <n v="12"/>
    <n v="11580"/>
    <n v="7642"/>
  </r>
  <r>
    <s v="2025-06-11"/>
    <s v="East"/>
    <s v="Mobile"/>
    <x v="2"/>
    <n v="16"/>
    <n v="27280"/>
    <n v="17732"/>
  </r>
</pivotCacheRecords>
</file>

<file path=xl/pivotCache/pivotCacheRecords2.xml><?xml version="1.0" encoding="utf-8"?>
<pivotCacheRecords xmlns="http://schemas.openxmlformats.org/spreadsheetml/2006/main" xmlns:r="http://schemas.openxmlformats.org/officeDocument/2006/relationships" count="349">
  <r>
    <s v="2025-01-10"/>
    <x v="0"/>
    <x v="0"/>
    <x v="0"/>
    <n v="5"/>
    <n v="2870"/>
    <n v="2095"/>
  </r>
  <r>
    <s v="2025-06-05"/>
    <x v="1"/>
    <x v="1"/>
    <x v="1"/>
    <n v="8"/>
    <n v="8272"/>
    <n v="5707"/>
  </r>
  <r>
    <s v="2025-01-22"/>
    <x v="0"/>
    <x v="2"/>
    <x v="1"/>
    <n v="13"/>
    <n v="8658"/>
    <n v="4935"/>
  </r>
  <r>
    <s v="2025-03-05"/>
    <x v="0"/>
    <x v="0"/>
    <x v="2"/>
    <n v="13"/>
    <n v="15665"/>
    <n v="9242"/>
  </r>
  <r>
    <s v="2025-02-04"/>
    <x v="2"/>
    <x v="0"/>
    <x v="0"/>
    <n v="5"/>
    <n v="7445"/>
    <n v="5360"/>
  </r>
  <r>
    <s v="2025-02-11"/>
    <x v="0"/>
    <x v="1"/>
    <x v="3"/>
    <n v="9"/>
    <n v="16344"/>
    <n v="11277"/>
  </r>
  <r>
    <s v="2025-06-17"/>
    <x v="2"/>
    <x v="1"/>
    <x v="2"/>
    <n v="8"/>
    <n v="4336"/>
    <n v="2471"/>
  </r>
  <r>
    <s v="2025-03-18"/>
    <x v="0"/>
    <x v="3"/>
    <x v="0"/>
    <n v="2"/>
    <n v="3396"/>
    <n v="2139"/>
  </r>
  <r>
    <s v="2025-05-14"/>
    <x v="0"/>
    <x v="0"/>
    <x v="3"/>
    <n v="16"/>
    <n v="17104"/>
    <n v="12828"/>
  </r>
  <r>
    <s v="2025-03-01"/>
    <x v="2"/>
    <x v="3"/>
    <x v="0"/>
    <n v="16"/>
    <n v="31872"/>
    <n v="23585"/>
  </r>
  <r>
    <s v="2025-05-06"/>
    <x v="1"/>
    <x v="3"/>
    <x v="3"/>
    <n v="16"/>
    <n v="10704"/>
    <n v="5459"/>
  </r>
  <r>
    <s v="2025-05-04"/>
    <x v="3"/>
    <x v="2"/>
    <x v="0"/>
    <n v="4"/>
    <n v="4892"/>
    <n v="2788"/>
  </r>
  <r>
    <s v="2025-01-16"/>
    <x v="3"/>
    <x v="0"/>
    <x v="1"/>
    <n v="7"/>
    <n v="11200"/>
    <n v="8400"/>
  </r>
  <r>
    <s v="2025-04-02"/>
    <x v="3"/>
    <x v="1"/>
    <x v="4"/>
    <n v="12"/>
    <n v="15816"/>
    <n v="9489"/>
  </r>
  <r>
    <s v="2025-03-27"/>
    <x v="0"/>
    <x v="3"/>
    <x v="3"/>
    <n v="12"/>
    <n v="16032"/>
    <n v="11062"/>
  </r>
  <r>
    <s v="2025-06-13"/>
    <x v="0"/>
    <x v="0"/>
    <x v="4"/>
    <n v="8"/>
    <n v="4792"/>
    <n v="3546"/>
  </r>
  <r>
    <s v="2025-01-17"/>
    <x v="3"/>
    <x v="2"/>
    <x v="3"/>
    <n v="19"/>
    <n v="26239"/>
    <n v="20466"/>
  </r>
  <r>
    <s v="2025-03-20"/>
    <x v="0"/>
    <x v="1"/>
    <x v="2"/>
    <n v="3"/>
    <n v="3408"/>
    <n v="2147"/>
  </r>
  <r>
    <s v="2025-01-31"/>
    <x v="3"/>
    <x v="3"/>
    <x v="5"/>
    <n v="9"/>
    <n v="5814"/>
    <n v="3488"/>
  </r>
  <r>
    <s v="2025-05-29"/>
    <x v="3"/>
    <x v="0"/>
    <x v="3"/>
    <n v="17"/>
    <n v="22032"/>
    <n v="13659"/>
  </r>
  <r>
    <s v="2025-03-14"/>
    <x v="0"/>
    <x v="2"/>
    <x v="0"/>
    <n v="8"/>
    <n v="9856"/>
    <n v="6504"/>
  </r>
  <r>
    <s v="2025-01-19"/>
    <x v="3"/>
    <x v="0"/>
    <x v="3"/>
    <n v="20"/>
    <n v="14060"/>
    <n v="7592"/>
  </r>
  <r>
    <s v="2025-04-28"/>
    <x v="1"/>
    <x v="3"/>
    <x v="2"/>
    <n v="19"/>
    <n v="19912"/>
    <n v="15531"/>
  </r>
  <r>
    <s v="2025-06-05"/>
    <x v="1"/>
    <x v="2"/>
    <x v="3"/>
    <n v="10"/>
    <n v="9540"/>
    <n v="6868"/>
  </r>
  <r>
    <s v="2025-04-27"/>
    <x v="3"/>
    <x v="1"/>
    <x v="0"/>
    <n v="17"/>
    <n v="19210"/>
    <n v="14407"/>
  </r>
  <r>
    <s v="2025-03-22"/>
    <x v="3"/>
    <x v="1"/>
    <x v="4"/>
    <n v="5"/>
    <n v="5680"/>
    <n v="4373"/>
  </r>
  <r>
    <s v="2025-04-29"/>
    <x v="0"/>
    <x v="3"/>
    <x v="4"/>
    <n v="1"/>
    <n v="1990"/>
    <n v="1393"/>
  </r>
  <r>
    <s v="2025-02-15"/>
    <x v="3"/>
    <x v="2"/>
    <x v="0"/>
    <n v="10"/>
    <n v="7220"/>
    <n v="3826"/>
  </r>
  <r>
    <s v="2025-01-17"/>
    <x v="0"/>
    <x v="2"/>
    <x v="2"/>
    <n v="4"/>
    <n v="4304"/>
    <n v="2195"/>
  </r>
  <r>
    <s v="2025-06-13"/>
    <x v="3"/>
    <x v="0"/>
    <x v="1"/>
    <n v="7"/>
    <n v="13419"/>
    <n v="9393"/>
  </r>
  <r>
    <s v="2025-06-14"/>
    <x v="3"/>
    <x v="3"/>
    <x v="3"/>
    <n v="13"/>
    <n v="18889"/>
    <n v="9633"/>
  </r>
  <r>
    <s v="2025-03-18"/>
    <x v="3"/>
    <x v="2"/>
    <x v="3"/>
    <n v="9"/>
    <n v="8505"/>
    <n v="6038"/>
  </r>
  <r>
    <s v="2025-05-11"/>
    <x v="3"/>
    <x v="2"/>
    <x v="5"/>
    <n v="5"/>
    <n v="3425"/>
    <n v="2500"/>
  </r>
  <r>
    <s v="2025-06-22"/>
    <x v="0"/>
    <x v="0"/>
    <x v="5"/>
    <n v="2"/>
    <n v="2748"/>
    <n v="2061"/>
  </r>
  <r>
    <s v="2025-04-02"/>
    <x v="1"/>
    <x v="2"/>
    <x v="1"/>
    <n v="13"/>
    <n v="20163"/>
    <n v="11089"/>
  </r>
  <r>
    <s v="2025-05-12"/>
    <x v="2"/>
    <x v="2"/>
    <x v="1"/>
    <n v="13"/>
    <n v="20696"/>
    <n v="15522"/>
  </r>
  <r>
    <s v="2025-04-11"/>
    <x v="2"/>
    <x v="1"/>
    <x v="2"/>
    <n v="8"/>
    <n v="5872"/>
    <n v="4638"/>
  </r>
  <r>
    <s v="2025-01-28"/>
    <x v="0"/>
    <x v="0"/>
    <x v="4"/>
    <n v="16"/>
    <n v="30048"/>
    <n v="17427"/>
  </r>
  <r>
    <s v="2025-01-11"/>
    <x v="0"/>
    <x v="1"/>
    <x v="3"/>
    <n v="10"/>
    <n v="10830"/>
    <n v="7472"/>
  </r>
  <r>
    <s v="2025-02-14"/>
    <x v="2"/>
    <x v="3"/>
    <x v="0"/>
    <n v="12"/>
    <n v="18576"/>
    <n v="13932"/>
  </r>
  <r>
    <s v="2025-02-17"/>
    <x v="3"/>
    <x v="2"/>
    <x v="1"/>
    <n v="5"/>
    <n v="6700"/>
    <n v="3551"/>
  </r>
  <r>
    <s v="2025-04-28"/>
    <x v="3"/>
    <x v="0"/>
    <x v="2"/>
    <n v="19"/>
    <n v="12673"/>
    <n v="8871"/>
  </r>
  <r>
    <s v="2025-06-27"/>
    <x v="3"/>
    <x v="3"/>
    <x v="1"/>
    <n v="1"/>
    <n v="596"/>
    <n v="345"/>
  </r>
  <r>
    <s v="2025-06-04"/>
    <x v="1"/>
    <x v="1"/>
    <x v="5"/>
    <n v="13"/>
    <n v="12103"/>
    <n v="6656"/>
  </r>
  <r>
    <s v="2025-04-27"/>
    <x v="3"/>
    <x v="3"/>
    <x v="0"/>
    <n v="14"/>
    <n v="12306"/>
    <n v="8368"/>
  </r>
  <r>
    <s v="2025-02-24"/>
    <x v="1"/>
    <x v="0"/>
    <x v="1"/>
    <n v="14"/>
    <n v="14966"/>
    <n v="9428"/>
  </r>
  <r>
    <s v="2025-06-09"/>
    <x v="2"/>
    <x v="2"/>
    <x v="1"/>
    <n v="3"/>
    <n v="3897"/>
    <n v="2455"/>
  </r>
  <r>
    <s v="2025-02-25"/>
    <x v="2"/>
    <x v="3"/>
    <x v="1"/>
    <n v="9"/>
    <n v="15480"/>
    <n v="11300"/>
  </r>
  <r>
    <s v="2025-03-26"/>
    <x v="2"/>
    <x v="1"/>
    <x v="3"/>
    <n v="18"/>
    <n v="23274"/>
    <n v="16059"/>
  </r>
  <r>
    <s v="2025-03-13"/>
    <x v="0"/>
    <x v="0"/>
    <x v="0"/>
    <n v="10"/>
    <n v="11800"/>
    <n v="8850"/>
  </r>
  <r>
    <s v="2025-01-08"/>
    <x v="1"/>
    <x v="3"/>
    <x v="3"/>
    <n v="20"/>
    <n v="19400"/>
    <n v="11446"/>
  </r>
  <r>
    <s v="2025-02-05"/>
    <x v="0"/>
    <x v="1"/>
    <x v="0"/>
    <n v="13"/>
    <n v="17693"/>
    <n v="11323"/>
  </r>
  <r>
    <s v="2025-05-07"/>
    <x v="3"/>
    <x v="1"/>
    <x v="5"/>
    <n v="14"/>
    <n v="15918"/>
    <n v="11301"/>
  </r>
  <r>
    <s v="2025-01-18"/>
    <x v="1"/>
    <x v="0"/>
    <x v="5"/>
    <n v="4"/>
    <n v="6856"/>
    <n v="4867"/>
  </r>
  <r>
    <s v="2025-04-10"/>
    <x v="2"/>
    <x v="2"/>
    <x v="2"/>
    <n v="9"/>
    <n v="6129"/>
    <n v="4351"/>
  </r>
  <r>
    <s v="2025-01-23"/>
    <x v="0"/>
    <x v="0"/>
    <x v="5"/>
    <n v="8"/>
    <n v="14784"/>
    <n v="9166"/>
  </r>
  <r>
    <s v="2025-01-23"/>
    <x v="0"/>
    <x v="2"/>
    <x v="2"/>
    <n v="16"/>
    <n v="31024"/>
    <n v="20475"/>
  </r>
  <r>
    <s v="2025-02-02"/>
    <x v="3"/>
    <x v="1"/>
    <x v="2"/>
    <n v="13"/>
    <n v="23153"/>
    <n v="16207"/>
  </r>
  <r>
    <s v="2025-04-09"/>
    <x v="3"/>
    <x v="3"/>
    <x v="1"/>
    <n v="14"/>
    <n v="23548"/>
    <n v="13657"/>
  </r>
  <r>
    <s v="2025-01-11"/>
    <x v="0"/>
    <x v="0"/>
    <x v="3"/>
    <n v="18"/>
    <n v="16416"/>
    <n v="12804"/>
  </r>
  <r>
    <s v="2025-02-13"/>
    <x v="0"/>
    <x v="2"/>
    <x v="0"/>
    <n v="8"/>
    <n v="13944"/>
    <n v="9621"/>
  </r>
  <r>
    <s v="2025-05-17"/>
    <x v="3"/>
    <x v="1"/>
    <x v="5"/>
    <n v="6"/>
    <n v="3912"/>
    <n v="2973"/>
  </r>
  <r>
    <s v="2025-05-26"/>
    <x v="1"/>
    <x v="0"/>
    <x v="3"/>
    <n v="3"/>
    <n v="5463"/>
    <n v="3223"/>
  </r>
  <r>
    <s v="2025-05-28"/>
    <x v="1"/>
    <x v="0"/>
    <x v="5"/>
    <n v="9"/>
    <n v="11457"/>
    <n v="8249"/>
  </r>
  <r>
    <s v="2025-05-17"/>
    <x v="3"/>
    <x v="2"/>
    <x v="1"/>
    <n v="4"/>
    <n v="7356"/>
    <n v="3751"/>
  </r>
  <r>
    <s v="2025-05-07"/>
    <x v="2"/>
    <x v="3"/>
    <x v="4"/>
    <n v="15"/>
    <n v="11670"/>
    <n v="6418"/>
  </r>
  <r>
    <s v="2025-05-15"/>
    <x v="1"/>
    <x v="2"/>
    <x v="3"/>
    <n v="18"/>
    <n v="16038"/>
    <n v="8179"/>
  </r>
  <r>
    <s v="2025-06-25"/>
    <x v="1"/>
    <x v="1"/>
    <x v="2"/>
    <n v="3"/>
    <n v="5667"/>
    <n v="4363"/>
  </r>
  <r>
    <s v="2025-04-24"/>
    <x v="1"/>
    <x v="1"/>
    <x v="4"/>
    <n v="8"/>
    <n v="15184"/>
    <n v="10476"/>
  </r>
  <r>
    <s v="2025-01-24"/>
    <x v="1"/>
    <x v="1"/>
    <x v="4"/>
    <n v="13"/>
    <n v="16536"/>
    <n v="10913"/>
  </r>
  <r>
    <s v="2025-06-24"/>
    <x v="2"/>
    <x v="2"/>
    <x v="2"/>
    <n v="19"/>
    <n v="24472"/>
    <n v="14438"/>
  </r>
  <r>
    <s v="2025-02-27"/>
    <x v="0"/>
    <x v="3"/>
    <x v="3"/>
    <n v="11"/>
    <n v="13893"/>
    <n v="8474"/>
  </r>
  <r>
    <s v="2025-02-13"/>
    <x v="3"/>
    <x v="3"/>
    <x v="3"/>
    <n v="8"/>
    <n v="12928"/>
    <n v="7498"/>
  </r>
  <r>
    <s v="2025-04-15"/>
    <x v="1"/>
    <x v="3"/>
    <x v="3"/>
    <n v="7"/>
    <n v="7602"/>
    <n v="5625"/>
  </r>
  <r>
    <s v="2025-02-05"/>
    <x v="0"/>
    <x v="3"/>
    <x v="5"/>
    <n v="12"/>
    <n v="21912"/>
    <n v="14242"/>
  </r>
  <r>
    <s v="2025-05-26"/>
    <x v="1"/>
    <x v="0"/>
    <x v="5"/>
    <n v="2"/>
    <n v="3102"/>
    <n v="1644"/>
  </r>
  <r>
    <s v="2025-02-15"/>
    <x v="0"/>
    <x v="3"/>
    <x v="1"/>
    <n v="11"/>
    <n v="17798"/>
    <n v="11212"/>
  </r>
  <r>
    <s v="2025-02-17"/>
    <x v="2"/>
    <x v="1"/>
    <x v="4"/>
    <n v="14"/>
    <n v="22680"/>
    <n v="15649"/>
  </r>
  <r>
    <s v="2025-01-02"/>
    <x v="1"/>
    <x v="1"/>
    <x v="5"/>
    <n v="14"/>
    <n v="18550"/>
    <n v="9275"/>
  </r>
  <r>
    <s v="2025-05-23"/>
    <x v="0"/>
    <x v="1"/>
    <x v="1"/>
    <n v="6"/>
    <n v="11490"/>
    <n v="7123"/>
  </r>
  <r>
    <s v="2025-04-08"/>
    <x v="2"/>
    <x v="2"/>
    <x v="4"/>
    <n v="15"/>
    <n v="16080"/>
    <n v="8522"/>
  </r>
  <r>
    <s v="2025-01-24"/>
    <x v="3"/>
    <x v="2"/>
    <x v="4"/>
    <n v="13"/>
    <n v="11050"/>
    <n v="8287"/>
  </r>
  <r>
    <s v="2025-01-16"/>
    <x v="1"/>
    <x v="3"/>
    <x v="1"/>
    <n v="6"/>
    <n v="4932"/>
    <n v="2663"/>
  </r>
  <r>
    <s v="2025-02-08"/>
    <x v="0"/>
    <x v="0"/>
    <x v="3"/>
    <n v="4"/>
    <n v="5536"/>
    <n v="3155"/>
  </r>
  <r>
    <s v="2025-04-20"/>
    <x v="0"/>
    <x v="0"/>
    <x v="4"/>
    <n v="3"/>
    <n v="4314"/>
    <n v="2372"/>
  </r>
  <r>
    <s v="2025-03-05"/>
    <x v="3"/>
    <x v="0"/>
    <x v="0"/>
    <n v="4"/>
    <n v="5752"/>
    <n v="3508"/>
  </r>
  <r>
    <s v="2025-03-06"/>
    <x v="3"/>
    <x v="3"/>
    <x v="0"/>
    <n v="18"/>
    <n v="10854"/>
    <n v="5535"/>
  </r>
  <r>
    <s v="2025-03-09"/>
    <x v="3"/>
    <x v="0"/>
    <x v="2"/>
    <n v="4"/>
    <n v="3496"/>
    <n v="2412"/>
  </r>
  <r>
    <s v="2025-01-31"/>
    <x v="1"/>
    <x v="3"/>
    <x v="5"/>
    <n v="8"/>
    <n v="6752"/>
    <n v="3646"/>
  </r>
  <r>
    <s v="2025-04-20"/>
    <x v="2"/>
    <x v="3"/>
    <x v="3"/>
    <n v="5"/>
    <n v="8795"/>
    <n v="5364"/>
  </r>
  <r>
    <s v="2025-06-13"/>
    <x v="0"/>
    <x v="2"/>
    <x v="3"/>
    <n v="11"/>
    <n v="7172"/>
    <n v="4805"/>
  </r>
  <r>
    <s v="2025-02-12"/>
    <x v="2"/>
    <x v="3"/>
    <x v="2"/>
    <n v="16"/>
    <n v="24704"/>
    <n v="18528"/>
  </r>
  <r>
    <s v="2025-05-13"/>
    <x v="3"/>
    <x v="0"/>
    <x v="4"/>
    <n v="5"/>
    <n v="3320"/>
    <n v="2622"/>
  </r>
  <r>
    <s v="2025-03-26"/>
    <x v="2"/>
    <x v="2"/>
    <x v="3"/>
    <n v="11"/>
    <n v="12947"/>
    <n v="6861"/>
  </r>
  <r>
    <s v="2025-04-28"/>
    <x v="1"/>
    <x v="3"/>
    <x v="2"/>
    <n v="10"/>
    <n v="12060"/>
    <n v="6633"/>
  </r>
  <r>
    <s v="2025-02-20"/>
    <x v="2"/>
    <x v="2"/>
    <x v="1"/>
    <n v="12"/>
    <n v="18432"/>
    <n v="10321"/>
  </r>
  <r>
    <s v="2025-03-22"/>
    <x v="3"/>
    <x v="2"/>
    <x v="4"/>
    <n v="4"/>
    <n v="4008"/>
    <n v="2244"/>
  </r>
  <r>
    <s v="2025-06-15"/>
    <x v="3"/>
    <x v="2"/>
    <x v="3"/>
    <n v="20"/>
    <n v="10980"/>
    <n v="6148"/>
  </r>
  <r>
    <s v="2025-06-30"/>
    <x v="3"/>
    <x v="1"/>
    <x v="5"/>
    <n v="10"/>
    <n v="16880"/>
    <n v="12997"/>
  </r>
  <r>
    <s v="2025-04-08"/>
    <x v="3"/>
    <x v="3"/>
    <x v="0"/>
    <n v="16"/>
    <n v="20208"/>
    <n v="10912"/>
  </r>
  <r>
    <s v="2025-01-15"/>
    <x v="1"/>
    <x v="3"/>
    <x v="0"/>
    <n v="9"/>
    <n v="8415"/>
    <n v="5722"/>
  </r>
  <r>
    <s v="2025-05-22"/>
    <x v="0"/>
    <x v="0"/>
    <x v="0"/>
    <n v="19"/>
    <n v="26638"/>
    <n v="15982"/>
  </r>
  <r>
    <s v="2025-03-15"/>
    <x v="1"/>
    <x v="2"/>
    <x v="5"/>
    <n v="5"/>
    <n v="5955"/>
    <n v="3096"/>
  </r>
  <r>
    <s v="2025-02-01"/>
    <x v="0"/>
    <x v="3"/>
    <x v="2"/>
    <n v="11"/>
    <n v="14091"/>
    <n v="10427"/>
  </r>
  <r>
    <s v="2025-05-15"/>
    <x v="0"/>
    <x v="1"/>
    <x v="5"/>
    <n v="16"/>
    <n v="9808"/>
    <n v="5884"/>
  </r>
  <r>
    <s v="2025-06-24"/>
    <x v="2"/>
    <x v="0"/>
    <x v="4"/>
    <n v="16"/>
    <n v="20432"/>
    <n v="16141"/>
  </r>
  <r>
    <s v="2025-03-18"/>
    <x v="3"/>
    <x v="3"/>
    <x v="5"/>
    <n v="20"/>
    <n v="29600"/>
    <n v="16280"/>
  </r>
  <r>
    <s v="2025-04-06"/>
    <x v="3"/>
    <x v="3"/>
    <x v="2"/>
    <n v="2"/>
    <n v="3756"/>
    <n v="2028"/>
  </r>
  <r>
    <s v="2025-02-24"/>
    <x v="1"/>
    <x v="2"/>
    <x v="1"/>
    <n v="14"/>
    <n v="11970"/>
    <n v="8139"/>
  </r>
  <r>
    <s v="2025-03-24"/>
    <x v="0"/>
    <x v="2"/>
    <x v="3"/>
    <n v="5"/>
    <n v="3870"/>
    <n v="2438"/>
  </r>
  <r>
    <s v="2025-03-31"/>
    <x v="0"/>
    <x v="2"/>
    <x v="5"/>
    <n v="14"/>
    <n v="10906"/>
    <n v="5889"/>
  </r>
  <r>
    <s v="2025-03-08"/>
    <x v="2"/>
    <x v="1"/>
    <x v="3"/>
    <n v="6"/>
    <n v="7440"/>
    <n v="5877"/>
  </r>
  <r>
    <s v="2025-03-16"/>
    <x v="3"/>
    <x v="3"/>
    <x v="4"/>
    <n v="14"/>
    <n v="15512"/>
    <n v="9927"/>
  </r>
  <r>
    <s v="2025-01-03"/>
    <x v="3"/>
    <x v="2"/>
    <x v="3"/>
    <n v="7"/>
    <n v="6853"/>
    <n v="5482"/>
  </r>
  <r>
    <s v="2025-01-04"/>
    <x v="0"/>
    <x v="3"/>
    <x v="5"/>
    <n v="11"/>
    <n v="7942"/>
    <n v="3971"/>
  </r>
  <r>
    <s v="2025-03-25"/>
    <x v="2"/>
    <x v="2"/>
    <x v="0"/>
    <n v="1"/>
    <n v="1798"/>
    <n v="1240"/>
  </r>
  <r>
    <s v="2025-03-03"/>
    <x v="2"/>
    <x v="1"/>
    <x v="3"/>
    <n v="1"/>
    <n v="1766"/>
    <n v="1377"/>
  </r>
  <r>
    <s v="2025-06-23"/>
    <x v="3"/>
    <x v="2"/>
    <x v="5"/>
    <n v="7"/>
    <n v="11060"/>
    <n v="5751"/>
  </r>
  <r>
    <s v="2025-05-18"/>
    <x v="0"/>
    <x v="3"/>
    <x v="5"/>
    <n v="17"/>
    <n v="9197"/>
    <n v="6437"/>
  </r>
  <r>
    <s v="2025-04-04"/>
    <x v="3"/>
    <x v="2"/>
    <x v="0"/>
    <n v="16"/>
    <n v="29200"/>
    <n v="19564"/>
  </r>
  <r>
    <s v="2025-01-04"/>
    <x v="3"/>
    <x v="1"/>
    <x v="0"/>
    <n v="3"/>
    <n v="2052"/>
    <n v="1539"/>
  </r>
  <r>
    <s v="2025-01-28"/>
    <x v="2"/>
    <x v="0"/>
    <x v="1"/>
    <n v="1"/>
    <n v="525"/>
    <n v="420"/>
  </r>
  <r>
    <s v="2025-04-06"/>
    <x v="2"/>
    <x v="3"/>
    <x v="4"/>
    <n v="3"/>
    <n v="4134"/>
    <n v="2480"/>
  </r>
  <r>
    <s v="2025-05-29"/>
    <x v="3"/>
    <x v="2"/>
    <x v="0"/>
    <n v="6"/>
    <n v="10350"/>
    <n v="6520"/>
  </r>
  <r>
    <s v="2025-04-08"/>
    <x v="0"/>
    <x v="2"/>
    <x v="0"/>
    <n v="11"/>
    <n v="17270"/>
    <n v="8980"/>
  </r>
  <r>
    <s v="2025-06-14"/>
    <x v="3"/>
    <x v="3"/>
    <x v="4"/>
    <n v="5"/>
    <n v="8010"/>
    <n v="6247"/>
  </r>
  <r>
    <s v="2025-05-13"/>
    <x v="1"/>
    <x v="1"/>
    <x v="1"/>
    <n v="18"/>
    <n v="25128"/>
    <n v="16835"/>
  </r>
  <r>
    <s v="2025-05-14"/>
    <x v="3"/>
    <x v="3"/>
    <x v="0"/>
    <n v="10"/>
    <n v="15990"/>
    <n v="11193"/>
  </r>
  <r>
    <s v="2025-05-28"/>
    <x v="2"/>
    <x v="0"/>
    <x v="5"/>
    <n v="20"/>
    <n v="25860"/>
    <n v="19653"/>
  </r>
  <r>
    <s v="2025-02-02"/>
    <x v="3"/>
    <x v="2"/>
    <x v="0"/>
    <n v="5"/>
    <n v="2895"/>
    <n v="1765"/>
  </r>
  <r>
    <s v="2025-05-20"/>
    <x v="3"/>
    <x v="0"/>
    <x v="1"/>
    <n v="14"/>
    <n v="20384"/>
    <n v="15899"/>
  </r>
  <r>
    <s v="2025-05-30"/>
    <x v="1"/>
    <x v="2"/>
    <x v="1"/>
    <n v="11"/>
    <n v="14476"/>
    <n v="9988"/>
  </r>
  <r>
    <s v="2025-03-14"/>
    <x v="3"/>
    <x v="1"/>
    <x v="1"/>
    <n v="11"/>
    <n v="19921"/>
    <n v="10159"/>
  </r>
  <r>
    <s v="2025-02-25"/>
    <x v="0"/>
    <x v="2"/>
    <x v="4"/>
    <n v="19"/>
    <n v="27436"/>
    <n v="21948"/>
  </r>
  <r>
    <s v="2025-05-29"/>
    <x v="2"/>
    <x v="1"/>
    <x v="0"/>
    <n v="13"/>
    <n v="15756"/>
    <n v="8823"/>
  </r>
  <r>
    <s v="2025-04-08"/>
    <x v="1"/>
    <x v="0"/>
    <x v="4"/>
    <n v="13"/>
    <n v="15223"/>
    <n v="9742"/>
  </r>
  <r>
    <s v="2025-03-24"/>
    <x v="3"/>
    <x v="2"/>
    <x v="4"/>
    <n v="5"/>
    <n v="9520"/>
    <n v="5807"/>
  </r>
  <r>
    <s v="2025-06-19"/>
    <x v="2"/>
    <x v="3"/>
    <x v="1"/>
    <n v="8"/>
    <n v="12616"/>
    <n v="6560"/>
  </r>
  <r>
    <s v="2025-06-20"/>
    <x v="1"/>
    <x v="0"/>
    <x v="1"/>
    <n v="2"/>
    <n v="3694"/>
    <n v="2179"/>
  </r>
  <r>
    <s v="2025-02-12"/>
    <x v="1"/>
    <x v="0"/>
    <x v="0"/>
    <n v="1"/>
    <n v="618"/>
    <n v="364"/>
  </r>
  <r>
    <s v="2025-03-26"/>
    <x v="3"/>
    <x v="3"/>
    <x v="1"/>
    <n v="6"/>
    <n v="8874"/>
    <n v="6123"/>
  </r>
  <r>
    <s v="2025-04-27"/>
    <x v="0"/>
    <x v="1"/>
    <x v="2"/>
    <n v="9"/>
    <n v="7101"/>
    <n v="4899"/>
  </r>
  <r>
    <s v="2025-03-02"/>
    <x v="1"/>
    <x v="1"/>
    <x v="5"/>
    <n v="2"/>
    <n v="3976"/>
    <n v="3141"/>
  </r>
  <r>
    <s v="2025-03-17"/>
    <x v="2"/>
    <x v="2"/>
    <x v="5"/>
    <n v="15"/>
    <n v="23190"/>
    <n v="16464"/>
  </r>
  <r>
    <s v="2025-03-15"/>
    <x v="0"/>
    <x v="3"/>
    <x v="3"/>
    <n v="12"/>
    <n v="13788"/>
    <n v="9237"/>
  </r>
  <r>
    <s v="2025-01-19"/>
    <x v="1"/>
    <x v="1"/>
    <x v="3"/>
    <n v="20"/>
    <n v="30820"/>
    <n v="16642"/>
  </r>
  <r>
    <s v="2025-04-15"/>
    <x v="3"/>
    <x v="0"/>
    <x v="4"/>
    <n v="7"/>
    <n v="13699"/>
    <n v="7123"/>
  </r>
  <r>
    <s v="2025-03-11"/>
    <x v="1"/>
    <x v="2"/>
    <x v="2"/>
    <n v="13"/>
    <n v="17927"/>
    <n v="12548"/>
  </r>
  <r>
    <s v="2025-06-23"/>
    <x v="1"/>
    <x v="3"/>
    <x v="0"/>
    <n v="3"/>
    <n v="5940"/>
    <n v="4336"/>
  </r>
  <r>
    <s v="2025-04-04"/>
    <x v="1"/>
    <x v="3"/>
    <x v="2"/>
    <n v="13"/>
    <n v="7319"/>
    <n v="4245"/>
  </r>
  <r>
    <s v="2025-04-15"/>
    <x v="1"/>
    <x v="3"/>
    <x v="3"/>
    <n v="1"/>
    <n v="503"/>
    <n v="251"/>
  </r>
  <r>
    <s v="2025-05-22"/>
    <x v="0"/>
    <x v="1"/>
    <x v="1"/>
    <n v="20"/>
    <n v="16260"/>
    <n v="11219"/>
  </r>
  <r>
    <s v="2025-03-21"/>
    <x v="2"/>
    <x v="2"/>
    <x v="3"/>
    <n v="19"/>
    <n v="26600"/>
    <n v="16758"/>
  </r>
  <r>
    <s v="2025-03-26"/>
    <x v="0"/>
    <x v="1"/>
    <x v="5"/>
    <n v="13"/>
    <n v="20449"/>
    <n v="14314"/>
  </r>
  <r>
    <s v="2025-05-09"/>
    <x v="0"/>
    <x v="2"/>
    <x v="4"/>
    <n v="20"/>
    <n v="19800"/>
    <n v="9900"/>
  </r>
  <r>
    <s v="2025-03-05"/>
    <x v="2"/>
    <x v="0"/>
    <x v="1"/>
    <n v="20"/>
    <n v="39060"/>
    <n v="28904"/>
  </r>
  <r>
    <s v="2025-06-09"/>
    <x v="0"/>
    <x v="2"/>
    <x v="3"/>
    <n v="10"/>
    <n v="19800"/>
    <n v="12276"/>
  </r>
  <r>
    <s v="2025-02-05"/>
    <x v="1"/>
    <x v="0"/>
    <x v="0"/>
    <n v="11"/>
    <n v="12309"/>
    <n v="6154"/>
  </r>
  <r>
    <s v="2025-06-23"/>
    <x v="2"/>
    <x v="2"/>
    <x v="1"/>
    <n v="5"/>
    <n v="7595"/>
    <n v="4481"/>
  </r>
  <r>
    <s v="2025-04-22"/>
    <x v="0"/>
    <x v="3"/>
    <x v="4"/>
    <n v="3"/>
    <n v="2811"/>
    <n v="1686"/>
  </r>
  <r>
    <s v="2025-04-20"/>
    <x v="0"/>
    <x v="3"/>
    <x v="0"/>
    <n v="20"/>
    <n v="39100"/>
    <n v="26979"/>
  </r>
  <r>
    <s v="2025-02-20"/>
    <x v="2"/>
    <x v="2"/>
    <x v="0"/>
    <n v="8"/>
    <n v="11304"/>
    <n v="8251"/>
  </r>
  <r>
    <s v="2025-01-26"/>
    <x v="3"/>
    <x v="0"/>
    <x v="3"/>
    <n v="4"/>
    <n v="3916"/>
    <n v="2349"/>
  </r>
  <r>
    <s v="2025-02-01"/>
    <x v="0"/>
    <x v="0"/>
    <x v="3"/>
    <n v="17"/>
    <n v="9299"/>
    <n v="6602"/>
  </r>
  <r>
    <s v="2025-01-19"/>
    <x v="0"/>
    <x v="0"/>
    <x v="3"/>
    <n v="11"/>
    <n v="13288"/>
    <n v="8504"/>
  </r>
  <r>
    <s v="2025-03-24"/>
    <x v="3"/>
    <x v="3"/>
    <x v="2"/>
    <n v="14"/>
    <n v="13118"/>
    <n v="6690"/>
  </r>
  <r>
    <s v="2025-01-12"/>
    <x v="1"/>
    <x v="3"/>
    <x v="4"/>
    <n v="12"/>
    <n v="19752"/>
    <n v="11061"/>
  </r>
  <r>
    <s v="2025-04-26"/>
    <x v="1"/>
    <x v="1"/>
    <x v="1"/>
    <n v="17"/>
    <n v="28662"/>
    <n v="19490"/>
  </r>
  <r>
    <s v="2025-02-17"/>
    <x v="3"/>
    <x v="3"/>
    <x v="1"/>
    <n v="14"/>
    <n v="17416"/>
    <n v="11146"/>
  </r>
  <r>
    <s v="2025-05-10"/>
    <x v="0"/>
    <x v="1"/>
    <x v="2"/>
    <n v="20"/>
    <n v="37860"/>
    <n v="30288"/>
  </r>
  <r>
    <s v="2025-06-04"/>
    <x v="1"/>
    <x v="2"/>
    <x v="4"/>
    <n v="5"/>
    <n v="8920"/>
    <n v="4549"/>
  </r>
  <r>
    <s v="2025-06-05"/>
    <x v="3"/>
    <x v="1"/>
    <x v="2"/>
    <n v="18"/>
    <n v="19926"/>
    <n v="15343"/>
  </r>
  <r>
    <s v="2025-01-18"/>
    <x v="0"/>
    <x v="2"/>
    <x v="5"/>
    <n v="5"/>
    <n v="4030"/>
    <n v="2780"/>
  </r>
  <r>
    <s v="2025-05-18"/>
    <x v="2"/>
    <x v="1"/>
    <x v="3"/>
    <n v="6"/>
    <n v="4362"/>
    <n v="2791"/>
  </r>
  <r>
    <s v="2025-06-04"/>
    <x v="2"/>
    <x v="3"/>
    <x v="2"/>
    <n v="1"/>
    <n v="1102"/>
    <n v="848"/>
  </r>
  <r>
    <s v="2025-05-02"/>
    <x v="0"/>
    <x v="3"/>
    <x v="2"/>
    <n v="6"/>
    <n v="5700"/>
    <n v="3591"/>
  </r>
  <r>
    <s v="2025-02-16"/>
    <x v="3"/>
    <x v="3"/>
    <x v="5"/>
    <n v="12"/>
    <n v="20052"/>
    <n v="11028"/>
  </r>
  <r>
    <s v="2025-04-19"/>
    <x v="2"/>
    <x v="1"/>
    <x v="0"/>
    <n v="10"/>
    <n v="15070"/>
    <n v="8891"/>
  </r>
  <r>
    <s v="2025-03-23"/>
    <x v="1"/>
    <x v="2"/>
    <x v="1"/>
    <n v="17"/>
    <n v="29342"/>
    <n v="17898"/>
  </r>
  <r>
    <s v="2025-01-28"/>
    <x v="1"/>
    <x v="2"/>
    <x v="4"/>
    <n v="18"/>
    <n v="20772"/>
    <n v="11840"/>
  </r>
  <r>
    <s v="2025-06-14"/>
    <x v="1"/>
    <x v="2"/>
    <x v="5"/>
    <n v="17"/>
    <n v="19975"/>
    <n v="10786"/>
  </r>
  <r>
    <s v="2025-05-08"/>
    <x v="0"/>
    <x v="0"/>
    <x v="2"/>
    <n v="20"/>
    <n v="33380"/>
    <n v="25368"/>
  </r>
  <r>
    <s v="2025-05-29"/>
    <x v="3"/>
    <x v="0"/>
    <x v="2"/>
    <n v="10"/>
    <n v="13000"/>
    <n v="10010"/>
  </r>
  <r>
    <s v="2025-06-17"/>
    <x v="0"/>
    <x v="0"/>
    <x v="4"/>
    <n v="19"/>
    <n v="25479"/>
    <n v="16306"/>
  </r>
  <r>
    <s v="2025-02-25"/>
    <x v="1"/>
    <x v="0"/>
    <x v="4"/>
    <n v="18"/>
    <n v="21582"/>
    <n v="16186"/>
  </r>
  <r>
    <s v="2025-06-16"/>
    <x v="3"/>
    <x v="3"/>
    <x v="1"/>
    <n v="7"/>
    <n v="7917"/>
    <n v="5462"/>
  </r>
  <r>
    <s v="2025-03-24"/>
    <x v="0"/>
    <x v="3"/>
    <x v="4"/>
    <n v="1"/>
    <n v="1297"/>
    <n v="778"/>
  </r>
  <r>
    <s v="2025-03-10"/>
    <x v="1"/>
    <x v="0"/>
    <x v="0"/>
    <n v="15"/>
    <n v="21285"/>
    <n v="11706"/>
  </r>
  <r>
    <s v="2025-06-29"/>
    <x v="1"/>
    <x v="1"/>
    <x v="3"/>
    <n v="5"/>
    <n v="2915"/>
    <n v="1836"/>
  </r>
  <r>
    <s v="2025-03-15"/>
    <x v="0"/>
    <x v="3"/>
    <x v="5"/>
    <n v="6"/>
    <n v="3246"/>
    <n v="1752"/>
  </r>
  <r>
    <s v="2025-03-09"/>
    <x v="2"/>
    <x v="1"/>
    <x v="1"/>
    <n v="18"/>
    <n v="11862"/>
    <n v="9370"/>
  </r>
  <r>
    <s v="2025-05-18"/>
    <x v="0"/>
    <x v="3"/>
    <x v="4"/>
    <n v="18"/>
    <n v="18162"/>
    <n v="14166"/>
  </r>
  <r>
    <s v="2025-06-06"/>
    <x v="0"/>
    <x v="0"/>
    <x v="2"/>
    <n v="7"/>
    <n v="10885"/>
    <n v="7946"/>
  </r>
  <r>
    <s v="2025-02-09"/>
    <x v="1"/>
    <x v="0"/>
    <x v="0"/>
    <n v="6"/>
    <n v="8316"/>
    <n v="4989"/>
  </r>
  <r>
    <s v="2025-05-31"/>
    <x v="0"/>
    <x v="3"/>
    <x v="0"/>
    <n v="4"/>
    <n v="7700"/>
    <n v="4851"/>
  </r>
  <r>
    <s v="2025-04-22"/>
    <x v="3"/>
    <x v="3"/>
    <x v="1"/>
    <n v="18"/>
    <n v="29700"/>
    <n v="21681"/>
  </r>
  <r>
    <s v="2025-05-01"/>
    <x v="3"/>
    <x v="1"/>
    <x v="5"/>
    <n v="16"/>
    <n v="10240"/>
    <n v="5836"/>
  </r>
  <r>
    <s v="2025-02-17"/>
    <x v="0"/>
    <x v="1"/>
    <x v="0"/>
    <n v="2"/>
    <n v="3562"/>
    <n v="2564"/>
  </r>
  <r>
    <s v="2025-04-28"/>
    <x v="2"/>
    <x v="2"/>
    <x v="0"/>
    <n v="14"/>
    <n v="23464"/>
    <n v="13374"/>
  </r>
  <r>
    <s v="2025-01-21"/>
    <x v="2"/>
    <x v="0"/>
    <x v="2"/>
    <n v="4"/>
    <n v="7988"/>
    <n v="5272"/>
  </r>
  <r>
    <s v="2025-04-19"/>
    <x v="0"/>
    <x v="1"/>
    <x v="4"/>
    <n v="16"/>
    <n v="30832"/>
    <n v="22507"/>
  </r>
  <r>
    <s v="2025-01-04"/>
    <x v="3"/>
    <x v="1"/>
    <x v="5"/>
    <n v="20"/>
    <n v="29540"/>
    <n v="22450"/>
  </r>
  <r>
    <s v="2025-04-04"/>
    <x v="2"/>
    <x v="0"/>
    <x v="1"/>
    <n v="1"/>
    <n v="1191"/>
    <n v="762"/>
  </r>
  <r>
    <s v="2025-01-23"/>
    <x v="3"/>
    <x v="3"/>
    <x v="5"/>
    <n v="9"/>
    <n v="6030"/>
    <n v="3859"/>
  </r>
  <r>
    <s v="2025-02-24"/>
    <x v="1"/>
    <x v="2"/>
    <x v="5"/>
    <n v="9"/>
    <n v="17325"/>
    <n v="9182"/>
  </r>
  <r>
    <s v="2025-03-05"/>
    <x v="1"/>
    <x v="1"/>
    <x v="3"/>
    <n v="17"/>
    <n v="30668"/>
    <n v="20547"/>
  </r>
  <r>
    <s v="2025-06-16"/>
    <x v="1"/>
    <x v="1"/>
    <x v="2"/>
    <n v="14"/>
    <n v="22414"/>
    <n v="17707"/>
  </r>
  <r>
    <s v="2025-03-11"/>
    <x v="2"/>
    <x v="2"/>
    <x v="3"/>
    <n v="13"/>
    <n v="20462"/>
    <n v="13504"/>
  </r>
  <r>
    <s v="2025-01-30"/>
    <x v="1"/>
    <x v="1"/>
    <x v="1"/>
    <n v="16"/>
    <n v="20544"/>
    <n v="14380"/>
  </r>
  <r>
    <s v="2025-03-06"/>
    <x v="3"/>
    <x v="1"/>
    <x v="2"/>
    <n v="16"/>
    <n v="21680"/>
    <n v="14308"/>
  </r>
  <r>
    <s v="2025-05-17"/>
    <x v="0"/>
    <x v="1"/>
    <x v="3"/>
    <n v="14"/>
    <n v="24108"/>
    <n v="15670"/>
  </r>
  <r>
    <s v="2025-04-09"/>
    <x v="1"/>
    <x v="2"/>
    <x v="0"/>
    <n v="16"/>
    <n v="19200"/>
    <n v="11712"/>
  </r>
  <r>
    <s v="2025-03-29"/>
    <x v="0"/>
    <x v="2"/>
    <x v="0"/>
    <n v="13"/>
    <n v="16861"/>
    <n v="12814"/>
  </r>
  <r>
    <s v="2025-06-01"/>
    <x v="0"/>
    <x v="1"/>
    <x v="3"/>
    <n v="14"/>
    <n v="14546"/>
    <n v="8145"/>
  </r>
  <r>
    <s v="2025-03-19"/>
    <x v="0"/>
    <x v="3"/>
    <x v="5"/>
    <n v="11"/>
    <n v="19778"/>
    <n v="14833"/>
  </r>
  <r>
    <s v="2025-01-29"/>
    <x v="0"/>
    <x v="3"/>
    <x v="5"/>
    <n v="20"/>
    <n v="23180"/>
    <n v="15994"/>
  </r>
  <r>
    <s v="2025-01-06"/>
    <x v="2"/>
    <x v="3"/>
    <x v="0"/>
    <n v="18"/>
    <n v="14724"/>
    <n v="11779"/>
  </r>
  <r>
    <s v="2025-03-20"/>
    <x v="2"/>
    <x v="0"/>
    <x v="0"/>
    <n v="14"/>
    <n v="16030"/>
    <n v="8175"/>
  </r>
  <r>
    <s v="2025-05-13"/>
    <x v="1"/>
    <x v="1"/>
    <x v="2"/>
    <n v="13"/>
    <n v="23426"/>
    <n v="12650"/>
  </r>
  <r>
    <s v="2025-01-14"/>
    <x v="0"/>
    <x v="1"/>
    <x v="2"/>
    <n v="7"/>
    <n v="5292"/>
    <n v="3916"/>
  </r>
  <r>
    <s v="2025-01-27"/>
    <x v="2"/>
    <x v="0"/>
    <x v="2"/>
    <n v="6"/>
    <n v="6444"/>
    <n v="3995"/>
  </r>
  <r>
    <s v="2025-01-11"/>
    <x v="2"/>
    <x v="0"/>
    <x v="1"/>
    <n v="7"/>
    <n v="9723"/>
    <n v="5542"/>
  </r>
  <r>
    <s v="2025-04-04"/>
    <x v="1"/>
    <x v="0"/>
    <x v="3"/>
    <n v="13"/>
    <n v="10426"/>
    <n v="7506"/>
  </r>
  <r>
    <s v="2025-03-13"/>
    <x v="0"/>
    <x v="0"/>
    <x v="2"/>
    <n v="12"/>
    <n v="17220"/>
    <n v="8782"/>
  </r>
  <r>
    <s v="2025-04-14"/>
    <x v="0"/>
    <x v="0"/>
    <x v="2"/>
    <n v="6"/>
    <n v="10122"/>
    <n v="7591"/>
  </r>
  <r>
    <s v="2025-06-27"/>
    <x v="3"/>
    <x v="1"/>
    <x v="4"/>
    <n v="2"/>
    <n v="2780"/>
    <n v="2112"/>
  </r>
  <r>
    <s v="2025-06-30"/>
    <x v="1"/>
    <x v="3"/>
    <x v="2"/>
    <n v="11"/>
    <n v="6545"/>
    <n v="4057"/>
  </r>
  <r>
    <s v="2025-01-28"/>
    <x v="2"/>
    <x v="0"/>
    <x v="4"/>
    <n v="6"/>
    <n v="3516"/>
    <n v="2250"/>
  </r>
  <r>
    <s v="2025-03-10"/>
    <x v="0"/>
    <x v="0"/>
    <x v="3"/>
    <n v="13"/>
    <n v="15132"/>
    <n v="8927"/>
  </r>
  <r>
    <s v="2025-06-03"/>
    <x v="1"/>
    <x v="2"/>
    <x v="5"/>
    <n v="2"/>
    <n v="3124"/>
    <n v="1905"/>
  </r>
  <r>
    <s v="2025-02-25"/>
    <x v="3"/>
    <x v="0"/>
    <x v="0"/>
    <n v="9"/>
    <n v="13878"/>
    <n v="9714"/>
  </r>
  <r>
    <s v="2025-06-26"/>
    <x v="0"/>
    <x v="1"/>
    <x v="4"/>
    <n v="10"/>
    <n v="15170"/>
    <n v="9253"/>
  </r>
  <r>
    <s v="2025-01-15"/>
    <x v="1"/>
    <x v="1"/>
    <x v="5"/>
    <n v="20"/>
    <n v="31020"/>
    <n v="22024"/>
  </r>
  <r>
    <s v="2025-03-19"/>
    <x v="2"/>
    <x v="3"/>
    <x v="1"/>
    <n v="1"/>
    <n v="1168"/>
    <n v="782"/>
  </r>
  <r>
    <s v="2025-02-12"/>
    <x v="0"/>
    <x v="2"/>
    <x v="0"/>
    <n v="1"/>
    <n v="1757"/>
    <n v="1388"/>
  </r>
  <r>
    <s v="2025-02-26"/>
    <x v="1"/>
    <x v="0"/>
    <x v="4"/>
    <n v="11"/>
    <n v="8745"/>
    <n v="4984"/>
  </r>
  <r>
    <s v="2025-04-29"/>
    <x v="3"/>
    <x v="1"/>
    <x v="1"/>
    <n v="20"/>
    <n v="25840"/>
    <n v="19380"/>
  </r>
  <r>
    <s v="2025-05-19"/>
    <x v="2"/>
    <x v="1"/>
    <x v="1"/>
    <n v="10"/>
    <n v="6420"/>
    <n v="3595"/>
  </r>
  <r>
    <s v="2025-01-07"/>
    <x v="1"/>
    <x v="1"/>
    <x v="1"/>
    <n v="2"/>
    <n v="1518"/>
    <n v="956"/>
  </r>
  <r>
    <s v="2025-01-14"/>
    <x v="3"/>
    <x v="2"/>
    <x v="2"/>
    <n v="18"/>
    <n v="23274"/>
    <n v="15360"/>
  </r>
  <r>
    <s v="2025-03-25"/>
    <x v="2"/>
    <x v="2"/>
    <x v="2"/>
    <n v="1"/>
    <n v="662"/>
    <n v="483"/>
  </r>
  <r>
    <s v="2025-06-15"/>
    <x v="3"/>
    <x v="0"/>
    <x v="0"/>
    <n v="4"/>
    <n v="4000"/>
    <n v="2960"/>
  </r>
  <r>
    <s v="2025-04-28"/>
    <x v="1"/>
    <x v="2"/>
    <x v="4"/>
    <n v="5"/>
    <n v="5655"/>
    <n v="3336"/>
  </r>
  <r>
    <s v="2025-01-31"/>
    <x v="2"/>
    <x v="3"/>
    <x v="1"/>
    <n v="7"/>
    <n v="3689"/>
    <n v="2951"/>
  </r>
  <r>
    <s v="2025-03-25"/>
    <x v="3"/>
    <x v="0"/>
    <x v="5"/>
    <n v="6"/>
    <n v="3918"/>
    <n v="2311"/>
  </r>
  <r>
    <s v="2025-01-20"/>
    <x v="3"/>
    <x v="3"/>
    <x v="5"/>
    <n v="17"/>
    <n v="10574"/>
    <n v="5498"/>
  </r>
  <r>
    <s v="2025-05-02"/>
    <x v="2"/>
    <x v="1"/>
    <x v="0"/>
    <n v="4"/>
    <n v="7104"/>
    <n v="4830"/>
  </r>
  <r>
    <s v="2025-05-10"/>
    <x v="0"/>
    <x v="0"/>
    <x v="4"/>
    <n v="5"/>
    <n v="9565"/>
    <n v="7078"/>
  </r>
  <r>
    <s v="2025-05-18"/>
    <x v="1"/>
    <x v="0"/>
    <x v="2"/>
    <n v="10"/>
    <n v="5360"/>
    <n v="2787"/>
  </r>
  <r>
    <s v="2025-06-16"/>
    <x v="3"/>
    <x v="1"/>
    <x v="5"/>
    <n v="10"/>
    <n v="6450"/>
    <n v="4515"/>
  </r>
  <r>
    <s v="2025-02-26"/>
    <x v="1"/>
    <x v="2"/>
    <x v="4"/>
    <n v="17"/>
    <n v="9129"/>
    <n v="5568"/>
  </r>
  <r>
    <s v="2025-06-01"/>
    <x v="1"/>
    <x v="3"/>
    <x v="2"/>
    <n v="18"/>
    <n v="32742"/>
    <n v="23574"/>
  </r>
  <r>
    <s v="2025-06-22"/>
    <x v="3"/>
    <x v="0"/>
    <x v="0"/>
    <n v="17"/>
    <n v="8602"/>
    <n v="6881"/>
  </r>
  <r>
    <s v="2025-06-02"/>
    <x v="2"/>
    <x v="0"/>
    <x v="2"/>
    <n v="9"/>
    <n v="16488"/>
    <n v="9068"/>
  </r>
  <r>
    <s v="2025-02-12"/>
    <x v="1"/>
    <x v="2"/>
    <x v="4"/>
    <n v="9"/>
    <n v="14850"/>
    <n v="9949"/>
  </r>
  <r>
    <s v="2025-01-28"/>
    <x v="3"/>
    <x v="0"/>
    <x v="5"/>
    <n v="11"/>
    <n v="21285"/>
    <n v="12345"/>
  </r>
  <r>
    <s v="2025-06-29"/>
    <x v="3"/>
    <x v="0"/>
    <x v="2"/>
    <n v="19"/>
    <n v="10735"/>
    <n v="5367"/>
  </r>
  <r>
    <s v="2025-02-07"/>
    <x v="0"/>
    <x v="2"/>
    <x v="2"/>
    <n v="7"/>
    <n v="7980"/>
    <n v="6144"/>
  </r>
  <r>
    <s v="2025-02-11"/>
    <x v="1"/>
    <x v="3"/>
    <x v="4"/>
    <n v="3"/>
    <n v="1593"/>
    <n v="1067"/>
  </r>
  <r>
    <s v="2025-04-15"/>
    <x v="1"/>
    <x v="2"/>
    <x v="0"/>
    <n v="15"/>
    <n v="22170"/>
    <n v="12415"/>
  </r>
  <r>
    <s v="2025-05-18"/>
    <x v="3"/>
    <x v="0"/>
    <x v="3"/>
    <n v="6"/>
    <n v="6174"/>
    <n v="4013"/>
  </r>
  <r>
    <s v="2025-04-03"/>
    <x v="0"/>
    <x v="3"/>
    <x v="1"/>
    <n v="10"/>
    <n v="13060"/>
    <n v="9925"/>
  </r>
  <r>
    <s v="2025-05-03"/>
    <x v="3"/>
    <x v="0"/>
    <x v="0"/>
    <n v="8"/>
    <n v="10664"/>
    <n v="7144"/>
  </r>
  <r>
    <s v="2025-04-11"/>
    <x v="3"/>
    <x v="1"/>
    <x v="5"/>
    <n v="7"/>
    <n v="13979"/>
    <n v="10344"/>
  </r>
  <r>
    <s v="2025-04-23"/>
    <x v="3"/>
    <x v="0"/>
    <x v="1"/>
    <n v="4"/>
    <n v="6576"/>
    <n v="4274"/>
  </r>
  <r>
    <s v="2025-02-22"/>
    <x v="2"/>
    <x v="1"/>
    <x v="2"/>
    <n v="20"/>
    <n v="25080"/>
    <n v="15298"/>
  </r>
  <r>
    <s v="2025-02-01"/>
    <x v="1"/>
    <x v="2"/>
    <x v="2"/>
    <n v="4"/>
    <n v="3308"/>
    <n v="2249"/>
  </r>
  <r>
    <s v="2025-05-05"/>
    <x v="3"/>
    <x v="0"/>
    <x v="5"/>
    <n v="15"/>
    <n v="23355"/>
    <n v="15647"/>
  </r>
  <r>
    <s v="2025-02-08"/>
    <x v="0"/>
    <x v="3"/>
    <x v="4"/>
    <n v="4"/>
    <n v="6764"/>
    <n v="4261"/>
  </r>
  <r>
    <s v="2025-05-23"/>
    <x v="2"/>
    <x v="2"/>
    <x v="1"/>
    <n v="5"/>
    <n v="7285"/>
    <n v="4298"/>
  </r>
  <r>
    <s v="2025-01-24"/>
    <x v="2"/>
    <x v="0"/>
    <x v="1"/>
    <n v="10"/>
    <n v="13160"/>
    <n v="7369"/>
  </r>
  <r>
    <s v="2025-06-30"/>
    <x v="3"/>
    <x v="0"/>
    <x v="1"/>
    <n v="18"/>
    <n v="17802"/>
    <n v="14241"/>
  </r>
  <r>
    <s v="2025-05-06"/>
    <x v="0"/>
    <x v="1"/>
    <x v="1"/>
    <n v="7"/>
    <n v="4459"/>
    <n v="3388"/>
  </r>
  <r>
    <s v="2025-01-18"/>
    <x v="2"/>
    <x v="0"/>
    <x v="4"/>
    <n v="9"/>
    <n v="14139"/>
    <n v="9190"/>
  </r>
  <r>
    <s v="2025-06-07"/>
    <x v="1"/>
    <x v="3"/>
    <x v="3"/>
    <n v="6"/>
    <n v="5688"/>
    <n v="3014"/>
  </r>
  <r>
    <s v="2025-06-26"/>
    <x v="0"/>
    <x v="1"/>
    <x v="5"/>
    <n v="19"/>
    <n v="33421"/>
    <n v="19049"/>
  </r>
  <r>
    <s v="2025-05-22"/>
    <x v="0"/>
    <x v="3"/>
    <x v="1"/>
    <n v="16"/>
    <n v="28624"/>
    <n v="22612"/>
  </r>
  <r>
    <s v="2025-01-27"/>
    <x v="1"/>
    <x v="3"/>
    <x v="5"/>
    <n v="1"/>
    <n v="1786"/>
    <n v="1035"/>
  </r>
  <r>
    <s v="2025-04-29"/>
    <x v="0"/>
    <x v="2"/>
    <x v="0"/>
    <n v="14"/>
    <n v="18144"/>
    <n v="12156"/>
  </r>
  <r>
    <s v="2025-04-19"/>
    <x v="1"/>
    <x v="3"/>
    <x v="3"/>
    <n v="20"/>
    <n v="38240"/>
    <n v="24856"/>
  </r>
  <r>
    <s v="2025-05-21"/>
    <x v="3"/>
    <x v="2"/>
    <x v="4"/>
    <n v="16"/>
    <n v="16944"/>
    <n v="10335"/>
  </r>
  <r>
    <s v="2025-01-25"/>
    <x v="0"/>
    <x v="3"/>
    <x v="5"/>
    <n v="5"/>
    <n v="9205"/>
    <n v="5062"/>
  </r>
  <r>
    <s v="2025-01-29"/>
    <x v="2"/>
    <x v="2"/>
    <x v="3"/>
    <n v="15"/>
    <n v="23955"/>
    <n v="13175"/>
  </r>
  <r>
    <s v="2025-06-10"/>
    <x v="2"/>
    <x v="2"/>
    <x v="1"/>
    <n v="2"/>
    <n v="3912"/>
    <n v="2777"/>
  </r>
  <r>
    <s v="2025-01-19"/>
    <x v="2"/>
    <x v="3"/>
    <x v="1"/>
    <n v="8"/>
    <n v="4984"/>
    <n v="3189"/>
  </r>
  <r>
    <s v="2025-05-07"/>
    <x v="2"/>
    <x v="2"/>
    <x v="5"/>
    <n v="17"/>
    <n v="20536"/>
    <n v="13759"/>
  </r>
  <r>
    <s v="2025-03-03"/>
    <x v="1"/>
    <x v="3"/>
    <x v="2"/>
    <n v="10"/>
    <n v="7700"/>
    <n v="4081"/>
  </r>
  <r>
    <s v="2025-06-19"/>
    <x v="3"/>
    <x v="2"/>
    <x v="0"/>
    <n v="11"/>
    <n v="19822"/>
    <n v="12289"/>
  </r>
  <r>
    <s v="2025-06-21"/>
    <x v="0"/>
    <x v="2"/>
    <x v="4"/>
    <n v="8"/>
    <n v="13512"/>
    <n v="10134"/>
  </r>
  <r>
    <s v="2025-02-21"/>
    <x v="1"/>
    <x v="2"/>
    <x v="2"/>
    <n v="10"/>
    <n v="18190"/>
    <n v="11277"/>
  </r>
  <r>
    <s v="2025-02-09"/>
    <x v="3"/>
    <x v="3"/>
    <x v="2"/>
    <n v="18"/>
    <n v="18054"/>
    <n v="10290"/>
  </r>
  <r>
    <s v="2025-02-10"/>
    <x v="2"/>
    <x v="1"/>
    <x v="1"/>
    <n v="18"/>
    <n v="30546"/>
    <n v="19243"/>
  </r>
  <r>
    <s v="2025-01-13"/>
    <x v="2"/>
    <x v="2"/>
    <x v="2"/>
    <n v="8"/>
    <n v="10112"/>
    <n v="5561"/>
  </r>
  <r>
    <s v="2025-05-26"/>
    <x v="2"/>
    <x v="2"/>
    <x v="4"/>
    <n v="7"/>
    <n v="8946"/>
    <n v="5099"/>
  </r>
  <r>
    <s v="2025-03-27"/>
    <x v="3"/>
    <x v="0"/>
    <x v="0"/>
    <n v="19"/>
    <n v="34808"/>
    <n v="18796"/>
  </r>
  <r>
    <s v="2025-03-22"/>
    <x v="2"/>
    <x v="3"/>
    <x v="1"/>
    <n v="12"/>
    <n v="12600"/>
    <n v="7938"/>
  </r>
  <r>
    <s v="2025-05-15"/>
    <x v="1"/>
    <x v="3"/>
    <x v="1"/>
    <n v="12"/>
    <n v="10608"/>
    <n v="7213"/>
  </r>
  <r>
    <s v="2025-02-20"/>
    <x v="2"/>
    <x v="3"/>
    <x v="2"/>
    <n v="3"/>
    <n v="2517"/>
    <n v="1912"/>
  </r>
  <r>
    <s v="2025-05-16"/>
    <x v="2"/>
    <x v="3"/>
    <x v="0"/>
    <n v="17"/>
    <n v="12002"/>
    <n v="7921"/>
  </r>
  <r>
    <s v="2025-02-19"/>
    <x v="3"/>
    <x v="1"/>
    <x v="5"/>
    <n v="6"/>
    <n v="10206"/>
    <n v="6735"/>
  </r>
  <r>
    <s v="2025-02-06"/>
    <x v="2"/>
    <x v="3"/>
    <x v="2"/>
    <n v="16"/>
    <n v="27104"/>
    <n v="14636"/>
  </r>
  <r>
    <s v="2025-06-22"/>
    <x v="2"/>
    <x v="3"/>
    <x v="2"/>
    <n v="16"/>
    <n v="17568"/>
    <n v="13176"/>
  </r>
  <r>
    <s v="2025-04-29"/>
    <x v="3"/>
    <x v="0"/>
    <x v="5"/>
    <n v="12"/>
    <n v="17484"/>
    <n v="13637"/>
  </r>
  <r>
    <s v="2025-06-07"/>
    <x v="2"/>
    <x v="0"/>
    <x v="1"/>
    <n v="19"/>
    <n v="37221"/>
    <n v="29776"/>
  </r>
  <r>
    <s v="2025-05-10"/>
    <x v="2"/>
    <x v="0"/>
    <x v="0"/>
    <n v="16"/>
    <n v="22400"/>
    <n v="13216"/>
  </r>
  <r>
    <s v="2025-02-08"/>
    <x v="3"/>
    <x v="0"/>
    <x v="2"/>
    <n v="6"/>
    <n v="5742"/>
    <n v="3043"/>
  </r>
  <r>
    <s v="2025-02-17"/>
    <x v="3"/>
    <x v="1"/>
    <x v="4"/>
    <n v="18"/>
    <n v="9270"/>
    <n v="7045"/>
  </r>
  <r>
    <s v="2025-03-30"/>
    <x v="0"/>
    <x v="1"/>
    <x v="2"/>
    <n v="6"/>
    <n v="8724"/>
    <n v="6194"/>
  </r>
  <r>
    <s v="2025-01-27"/>
    <x v="2"/>
    <x v="2"/>
    <x v="2"/>
    <n v="10"/>
    <n v="19700"/>
    <n v="15760"/>
  </r>
  <r>
    <s v="2025-06-17"/>
    <x v="3"/>
    <x v="1"/>
    <x v="0"/>
    <n v="18"/>
    <n v="21924"/>
    <n v="11619"/>
  </r>
  <r>
    <s v="2025-06-18"/>
    <x v="0"/>
    <x v="3"/>
    <x v="3"/>
    <n v="3"/>
    <n v="2286"/>
    <n v="1691"/>
  </r>
  <r>
    <s v="2025-06-19"/>
    <x v="2"/>
    <x v="3"/>
    <x v="1"/>
    <n v="1"/>
    <n v="893"/>
    <n v="705"/>
  </r>
  <r>
    <s v="2025-02-12"/>
    <x v="0"/>
    <x v="0"/>
    <x v="3"/>
    <n v="11"/>
    <n v="12727"/>
    <n v="9672"/>
  </r>
  <r>
    <s v="2025-03-13"/>
    <x v="3"/>
    <x v="2"/>
    <x v="2"/>
    <n v="8"/>
    <n v="8072"/>
    <n v="4358"/>
  </r>
  <r>
    <s v="2025-01-21"/>
    <x v="1"/>
    <x v="1"/>
    <x v="1"/>
    <n v="20"/>
    <n v="32640"/>
    <n v="22195"/>
  </r>
  <r>
    <s v="2025-03-15"/>
    <x v="3"/>
    <x v="0"/>
    <x v="5"/>
    <n v="11"/>
    <n v="9757"/>
    <n v="6342"/>
  </r>
  <r>
    <s v="2025-01-31"/>
    <x v="0"/>
    <x v="3"/>
    <x v="1"/>
    <n v="17"/>
    <n v="8755"/>
    <n v="6566"/>
  </r>
  <r>
    <s v="2025-03-23"/>
    <x v="3"/>
    <x v="0"/>
    <x v="5"/>
    <n v="10"/>
    <n v="9270"/>
    <n v="5932"/>
  </r>
  <r>
    <s v="2025-06-25"/>
    <x v="0"/>
    <x v="0"/>
    <x v="0"/>
    <n v="5"/>
    <n v="9105"/>
    <n v="5463"/>
  </r>
  <r>
    <s v="2025-03-31"/>
    <x v="1"/>
    <x v="0"/>
    <x v="4"/>
    <n v="19"/>
    <n v="25612"/>
    <n v="14086"/>
  </r>
  <r>
    <s v="2025-04-27"/>
    <x v="3"/>
    <x v="0"/>
    <x v="4"/>
    <n v="11"/>
    <n v="21208"/>
    <n v="11028"/>
  </r>
  <r>
    <s v="2025-04-08"/>
    <x v="2"/>
    <x v="1"/>
    <x v="4"/>
    <n v="9"/>
    <n v="17892"/>
    <n v="13419"/>
  </r>
  <r>
    <s v="2025-01-06"/>
    <x v="2"/>
    <x v="0"/>
    <x v="5"/>
    <n v="20"/>
    <n v="31000"/>
    <n v="19220"/>
  </r>
  <r>
    <s v="2025-03-22"/>
    <x v="3"/>
    <x v="1"/>
    <x v="0"/>
    <n v="13"/>
    <n v="11986"/>
    <n v="8869"/>
  </r>
  <r>
    <s v="2025-02-10"/>
    <x v="2"/>
    <x v="3"/>
    <x v="5"/>
    <n v="17"/>
    <n v="16592"/>
    <n v="9125"/>
  </r>
  <r>
    <s v="2025-02-22"/>
    <x v="0"/>
    <x v="1"/>
    <x v="4"/>
    <n v="4"/>
    <n v="4004"/>
    <n v="2042"/>
  </r>
  <r>
    <s v="2025-03-17"/>
    <x v="1"/>
    <x v="2"/>
    <x v="4"/>
    <n v="7"/>
    <n v="6426"/>
    <n v="5012"/>
  </r>
  <r>
    <s v="2025-03-14"/>
    <x v="2"/>
    <x v="2"/>
    <x v="2"/>
    <n v="2"/>
    <n v="1782"/>
    <n v="1318"/>
  </r>
  <r>
    <s v="2025-06-20"/>
    <x v="3"/>
    <x v="1"/>
    <x v="3"/>
    <n v="19"/>
    <n v="29602"/>
    <n v="15985"/>
  </r>
  <r>
    <s v="2025-01-04"/>
    <x v="3"/>
    <x v="1"/>
    <x v="4"/>
    <n v="17"/>
    <n v="14467"/>
    <n v="7522"/>
  </r>
  <r>
    <s v="2025-06-04"/>
    <x v="0"/>
    <x v="2"/>
    <x v="3"/>
    <n v="19"/>
    <n v="14022"/>
    <n v="9955"/>
  </r>
  <r>
    <s v="2025-03-08"/>
    <x v="0"/>
    <x v="2"/>
    <x v="0"/>
    <n v="6"/>
    <n v="9486"/>
    <n v="6735"/>
  </r>
  <r>
    <s v="2025-04-17"/>
    <x v="0"/>
    <x v="0"/>
    <x v="2"/>
    <n v="11"/>
    <n v="21681"/>
    <n v="16911"/>
  </r>
  <r>
    <s v="2025-01-30"/>
    <x v="2"/>
    <x v="2"/>
    <x v="0"/>
    <n v="11"/>
    <n v="16379"/>
    <n v="10154"/>
  </r>
  <r>
    <s v="2025-04-01"/>
    <x v="2"/>
    <x v="2"/>
    <x v="1"/>
    <n v="15"/>
    <n v="18840"/>
    <n v="13564"/>
  </r>
  <r>
    <s v="2025-01-28"/>
    <x v="3"/>
    <x v="0"/>
    <x v="2"/>
    <n v="10"/>
    <n v="11650"/>
    <n v="8621"/>
  </r>
  <r>
    <s v="2025-05-21"/>
    <x v="1"/>
    <x v="3"/>
    <x v="4"/>
    <n v="18"/>
    <n v="13068"/>
    <n v="9408"/>
  </r>
  <r>
    <s v="2025-02-21"/>
    <x v="3"/>
    <x v="3"/>
    <x v="1"/>
    <n v="8"/>
    <n v="9272"/>
    <n v="7139"/>
  </r>
  <r>
    <s v="2025-03-23"/>
    <x v="1"/>
    <x v="2"/>
    <x v="1"/>
    <n v="11"/>
    <n v="5863"/>
    <n v="3810"/>
  </r>
  <r>
    <s v="2025-02-26"/>
    <x v="0"/>
    <x v="3"/>
    <x v="2"/>
    <n v="16"/>
    <n v="25904"/>
    <n v="20723"/>
  </r>
  <r>
    <s v="2025-05-09"/>
    <x v="3"/>
    <x v="2"/>
    <x v="4"/>
    <n v="14"/>
    <n v="19754"/>
    <n v="13432"/>
  </r>
  <r>
    <s v="2025-02-06"/>
    <x v="2"/>
    <x v="1"/>
    <x v="5"/>
    <n v="19"/>
    <n v="35169"/>
    <n v="22156"/>
  </r>
  <r>
    <s v="2025-05-22"/>
    <x v="2"/>
    <x v="1"/>
    <x v="0"/>
    <n v="19"/>
    <n v="14649"/>
    <n v="9814"/>
  </r>
  <r>
    <s v="2025-02-18"/>
    <x v="1"/>
    <x v="0"/>
    <x v="0"/>
    <n v="11"/>
    <n v="10109"/>
    <n v="6773"/>
  </r>
  <r>
    <s v="2025-02-09"/>
    <x v="1"/>
    <x v="1"/>
    <x v="0"/>
    <n v="1"/>
    <n v="1119"/>
    <n v="581"/>
  </r>
  <r>
    <s v="2025-02-22"/>
    <x v="1"/>
    <x v="1"/>
    <x v="2"/>
    <n v="19"/>
    <n v="19361"/>
    <n v="11229"/>
  </r>
  <r>
    <s v="2025-02-22"/>
    <x v="0"/>
    <x v="3"/>
    <x v="4"/>
    <n v="15"/>
    <n v="11700"/>
    <n v="6435"/>
  </r>
  <r>
    <s v="2025-06-14"/>
    <x v="0"/>
    <x v="3"/>
    <x v="3"/>
    <n v="20"/>
    <n v="18340"/>
    <n v="10087"/>
  </r>
  <r>
    <s v="2025-02-21"/>
    <x v="3"/>
    <x v="2"/>
    <x v="2"/>
    <n v="6"/>
    <n v="9348"/>
    <n v="53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21:E27" firstHeaderRow="1" firstDataRow="1" firstDataCol="1"/>
  <pivotFields count="7">
    <pivotField showAll="0"/>
    <pivotField showAll="0">
      <items count="5">
        <item x="2"/>
        <item x="3"/>
        <item x="1"/>
        <item x="0"/>
        <item t="default"/>
      </items>
    </pivotField>
    <pivotField showAll="0">
      <items count="5">
        <item x="0"/>
        <item x="1"/>
        <item x="2"/>
        <item x="3"/>
        <item t="default"/>
      </items>
    </pivotField>
    <pivotField axis="axisRow" showAll="0">
      <items count="7">
        <item h="1" x="2"/>
        <item x="5"/>
        <item x="4"/>
        <item x="1"/>
        <item x="3"/>
        <item x="0"/>
        <item t="default"/>
      </items>
    </pivotField>
    <pivotField dataField="1" showAll="0"/>
    <pivotField showAll="0"/>
    <pivotField showAll="0"/>
  </pivotFields>
  <rowFields count="1">
    <field x="3"/>
  </rowFields>
  <rowItems count="6">
    <i>
      <x v="1"/>
    </i>
    <i>
      <x v="2"/>
    </i>
    <i>
      <x v="3"/>
    </i>
    <i>
      <x v="4"/>
    </i>
    <i>
      <x v="5"/>
    </i>
    <i t="grand">
      <x/>
    </i>
  </rowItems>
  <colItems count="1">
    <i/>
  </colItems>
  <dataFields count="1">
    <dataField name="Sum of Units_Sold" fld="4"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21:B26" firstHeaderRow="1" firstDataRow="1" firstDataCol="1"/>
  <pivotFields count="7">
    <pivotField showAll="0"/>
    <pivotField showAll="0">
      <items count="5">
        <item x="2"/>
        <item x="3"/>
        <item x="1"/>
        <item x="0"/>
        <item t="default"/>
      </items>
    </pivotField>
    <pivotField axis="axisRow" showAll="0">
      <items count="5">
        <item x="0"/>
        <item x="1"/>
        <item x="2"/>
        <item x="3"/>
        <item t="default"/>
      </items>
    </pivotField>
    <pivotField showAll="0"/>
    <pivotField showAll="0"/>
    <pivotField dataField="1" showAll="0"/>
    <pivotField showAll="0"/>
  </pivotFields>
  <rowFields count="1">
    <field x="2"/>
  </rowFields>
  <rowItems count="5">
    <i>
      <x/>
    </i>
    <i>
      <x v="1"/>
    </i>
    <i>
      <x v="2"/>
    </i>
    <i>
      <x v="3"/>
    </i>
    <i t="grand">
      <x/>
    </i>
  </rowItems>
  <colItems count="1">
    <i/>
  </colItems>
  <dataFields count="1">
    <dataField name="Sum of Revenue" fld="5" baseField="0" baseItem="0"/>
  </dataFields>
  <chartFormats count="6">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D13:E18" firstHeaderRow="1" firstDataRow="1" firstDataCol="1"/>
  <pivotFields count="7">
    <pivotField showAll="0"/>
    <pivotField axis="axisRow" showAll="0">
      <items count="5">
        <item x="2"/>
        <item x="3"/>
        <item x="1"/>
        <item x="0"/>
        <item t="default"/>
      </items>
    </pivotField>
    <pivotField showAll="0">
      <items count="5">
        <item x="0"/>
        <item x="1"/>
        <item x="2"/>
        <item x="3"/>
        <item t="default"/>
      </items>
    </pivotField>
    <pivotField showAll="0"/>
    <pivotField showAll="0"/>
    <pivotField dataField="1" showAll="0"/>
    <pivotField showAll="0"/>
  </pivotFields>
  <rowFields count="1">
    <field x="1"/>
  </rowFields>
  <rowItems count="5">
    <i>
      <x/>
    </i>
    <i>
      <x v="1"/>
    </i>
    <i>
      <x v="2"/>
    </i>
    <i>
      <x v="3"/>
    </i>
    <i t="grand">
      <x/>
    </i>
  </rowItems>
  <colItems count="1">
    <i/>
  </colItems>
  <dataFields count="1">
    <dataField name="Sum of Revenue"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B18" firstHeaderRow="1" firstDataRow="1" firstDataCol="1"/>
  <pivotFields count="7">
    <pivotField showAll="0"/>
    <pivotField axis="axisRow" showAll="0">
      <items count="5">
        <item x="2"/>
        <item x="3"/>
        <item x="1"/>
        <item x="0"/>
        <item t="default"/>
      </items>
    </pivotField>
    <pivotField showAll="0">
      <items count="5">
        <item x="0"/>
        <item x="1"/>
        <item x="2"/>
        <item x="3"/>
        <item t="default"/>
      </items>
    </pivotField>
    <pivotField showAll="0"/>
    <pivotField showAll="0"/>
    <pivotField dataField="1" showAll="0"/>
    <pivotField showAll="0"/>
  </pivotFields>
  <rowFields count="1">
    <field x="1"/>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8" firstHeaderRow="1" firstDataRow="1" firstDataCol="1"/>
  <pivotFields count="7">
    <pivotField showAll="0"/>
    <pivotField showAll="0"/>
    <pivotField axis="axisRow" showAll="0">
      <items count="5">
        <item x="0"/>
        <item x="1"/>
        <item x="2"/>
        <item x="3"/>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0" firstHeaderRow="1" firstDataRow="1" firstDataCol="1"/>
  <pivotFields count="7">
    <pivotField showAll="0"/>
    <pivotField showAll="0"/>
    <pivotField showAll="0"/>
    <pivotField axis="axisRow" showAll="0">
      <items count="7">
        <item x="2"/>
        <item x="5"/>
        <item x="4"/>
        <item x="1"/>
        <item x="3"/>
        <item x="0"/>
        <item t="default"/>
      </items>
    </pivotField>
    <pivotField showAll="0"/>
    <pivotField dataField="1" showAll="0"/>
    <pivotField showAll="0"/>
  </pivotFields>
  <rowFields count="1">
    <field x="3"/>
  </rowFields>
  <rowItems count="7">
    <i>
      <x/>
    </i>
    <i>
      <x v="1"/>
    </i>
    <i>
      <x v="2"/>
    </i>
    <i>
      <x v="3"/>
    </i>
    <i>
      <x v="4"/>
    </i>
    <i>
      <x v="5"/>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7"/>
    <pivotTable tabId="4" name="PivotTable8"/>
    <pivotTable tabId="4" name="PivotTable9"/>
  </pivotTables>
  <data>
    <tabular pivotCacheId="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8"/>
    <pivotTable tabId="4" name="PivotTable9"/>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4" name="PivotTable9"/>
  </pivotTables>
  <data>
    <tabular pivotCacheId="1">
      <items count="6">
        <i x="2"/>
        <i x="5"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 name="Salesperson" cache="Slicer_Salesperson" caption="Salesperson" startItem="1" rowHeight="241300"/>
</slicers>
</file>

<file path=xl/tables/table1.xml><?xml version="1.0" encoding="utf-8"?>
<table xmlns="http://schemas.openxmlformats.org/spreadsheetml/2006/main" id="1" name="Table1" displayName="Table1" ref="A1:G501" totalsRowShown="0">
  <autoFilter ref="A1:G501"/>
  <tableColumns count="7">
    <tableColumn id="1" name="Date"/>
    <tableColumn id="2" name="Region"/>
    <tableColumn id="3" name="Product"/>
    <tableColumn id="4" name="Salesperson"/>
    <tableColumn id="5" name="Units_Sold"/>
    <tableColumn id="6" name="Revenue"/>
    <tableColumn id="7" name="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showGridLines="0" tabSelected="1" workbookViewId="0">
      <selection activeCell="N13" sqref="N13"/>
    </sheetView>
  </sheetViews>
  <sheetFormatPr defaultRowHeight="15" x14ac:dyDescent="0.25"/>
  <cols>
    <col min="1" max="1" width="13.140625" customWidth="1"/>
    <col min="2" max="2" width="15.5703125" customWidth="1"/>
    <col min="4" max="4" width="13.140625" customWidth="1"/>
    <col min="5" max="5" width="17.42578125" customWidth="1"/>
    <col min="7" max="7" width="13.140625" bestFit="1" customWidth="1"/>
    <col min="8" max="8" width="15.5703125" bestFit="1" customWidth="1"/>
    <col min="9" max="9" width="12.140625" customWidth="1"/>
    <col min="10" max="10" width="15.5703125" customWidth="1"/>
    <col min="12" max="12" width="17" customWidth="1"/>
    <col min="14" max="14" width="16.42578125" customWidth="1"/>
  </cols>
  <sheetData>
    <row r="1" spans="1:14" ht="18.75" x14ac:dyDescent="0.3">
      <c r="H1" s="12" t="s">
        <v>197</v>
      </c>
      <c r="I1" s="13"/>
      <c r="J1" s="13"/>
      <c r="K1" s="13"/>
      <c r="L1" s="13"/>
      <c r="M1" s="13"/>
      <c r="N1" s="13"/>
    </row>
    <row r="3" spans="1:14" x14ac:dyDescent="0.25">
      <c r="A3" s="1" t="s">
        <v>189</v>
      </c>
      <c r="B3" t="s">
        <v>191</v>
      </c>
      <c r="D3" s="1" t="s">
        <v>189</v>
      </c>
      <c r="E3" t="s">
        <v>192</v>
      </c>
    </row>
    <row r="4" spans="1:14" x14ac:dyDescent="0.25">
      <c r="A4" s="2" t="s">
        <v>18</v>
      </c>
      <c r="B4" s="3">
        <v>1261278</v>
      </c>
      <c r="D4" s="2" t="s">
        <v>9</v>
      </c>
      <c r="E4" s="3">
        <v>918</v>
      </c>
      <c r="G4" s="2"/>
      <c r="H4" s="5" t="s">
        <v>193</v>
      </c>
      <c r="J4" s="4" t="s">
        <v>194</v>
      </c>
      <c r="L4" s="8" t="s">
        <v>195</v>
      </c>
      <c r="N4" s="10" t="s">
        <v>196</v>
      </c>
    </row>
    <row r="5" spans="1:14" x14ac:dyDescent="0.25">
      <c r="A5" s="2" t="s">
        <v>39</v>
      </c>
      <c r="B5" s="3">
        <v>950775</v>
      </c>
      <c r="D5" s="2" t="s">
        <v>13</v>
      </c>
      <c r="E5" s="3">
        <v>953</v>
      </c>
      <c r="G5" s="2"/>
      <c r="H5" s="6">
        <f>SUM(Sales_Data!F:F)</f>
        <v>6706614</v>
      </c>
      <c r="J5" s="7">
        <f>COUNTA(Sales_Data!A:A)-1</f>
        <v>500</v>
      </c>
      <c r="L5" s="9">
        <f>AVERAGE(Sales_Data!F:F)</f>
        <v>13413.227999999999</v>
      </c>
      <c r="N5" s="11">
        <f>SUM(Sales_Data!E:E)</f>
        <v>5347</v>
      </c>
    </row>
    <row r="6" spans="1:14" x14ac:dyDescent="0.25">
      <c r="A6" s="2" t="s">
        <v>33</v>
      </c>
      <c r="B6" s="3">
        <v>1034186</v>
      </c>
      <c r="D6" s="2" t="s">
        <v>16</v>
      </c>
      <c r="E6" s="3">
        <v>920</v>
      </c>
      <c r="G6" s="2"/>
      <c r="H6" s="3"/>
    </row>
    <row r="7" spans="1:14" x14ac:dyDescent="0.25">
      <c r="A7" s="2" t="s">
        <v>14</v>
      </c>
      <c r="B7" s="3">
        <v>1265521</v>
      </c>
      <c r="D7" s="2" t="s">
        <v>25</v>
      </c>
      <c r="E7" s="3">
        <v>986</v>
      </c>
      <c r="G7" s="2"/>
      <c r="H7" s="3"/>
    </row>
    <row r="8" spans="1:14" x14ac:dyDescent="0.25">
      <c r="A8" s="2" t="s">
        <v>22</v>
      </c>
      <c r="B8" s="3">
        <v>1154516</v>
      </c>
      <c r="D8" s="2" t="s">
        <v>190</v>
      </c>
      <c r="E8" s="3">
        <v>3777</v>
      </c>
      <c r="G8" s="2"/>
      <c r="H8" s="3"/>
    </row>
    <row r="9" spans="1:14" x14ac:dyDescent="0.25">
      <c r="A9" s="2" t="s">
        <v>10</v>
      </c>
      <c r="B9" s="3">
        <v>1040338</v>
      </c>
    </row>
    <row r="10" spans="1:14" x14ac:dyDescent="0.25">
      <c r="A10" s="2" t="s">
        <v>190</v>
      </c>
      <c r="B10" s="3">
        <v>6706614</v>
      </c>
    </row>
    <row r="13" spans="1:14" x14ac:dyDescent="0.25">
      <c r="A13" s="1" t="s">
        <v>189</v>
      </c>
      <c r="B13" t="s">
        <v>191</v>
      </c>
      <c r="D13" s="1" t="s">
        <v>189</v>
      </c>
      <c r="E13" t="s">
        <v>191</v>
      </c>
    </row>
    <row r="14" spans="1:14" x14ac:dyDescent="0.25">
      <c r="A14" s="2" t="s">
        <v>20</v>
      </c>
      <c r="B14" s="3">
        <v>1113865</v>
      </c>
      <c r="D14" s="2" t="s">
        <v>20</v>
      </c>
      <c r="E14" s="3">
        <v>1113865</v>
      </c>
    </row>
    <row r="15" spans="1:14" x14ac:dyDescent="0.25">
      <c r="A15" s="2" t="s">
        <v>30</v>
      </c>
      <c r="B15" s="3">
        <v>1300776</v>
      </c>
      <c r="D15" s="2" t="s">
        <v>30</v>
      </c>
      <c r="E15" s="3">
        <v>1300776</v>
      </c>
    </row>
    <row r="16" spans="1:14" x14ac:dyDescent="0.25">
      <c r="A16" s="2" t="s">
        <v>12</v>
      </c>
      <c r="B16" s="3">
        <v>1077225</v>
      </c>
      <c r="D16" s="2" t="s">
        <v>12</v>
      </c>
      <c r="E16" s="3">
        <v>1077225</v>
      </c>
    </row>
    <row r="17" spans="1:5" x14ac:dyDescent="0.25">
      <c r="A17" s="2" t="s">
        <v>8</v>
      </c>
      <c r="B17" s="3">
        <v>1261442</v>
      </c>
      <c r="D17" s="2" t="s">
        <v>8</v>
      </c>
      <c r="E17" s="3">
        <v>1261442</v>
      </c>
    </row>
    <row r="18" spans="1:5" x14ac:dyDescent="0.25">
      <c r="A18" s="2" t="s">
        <v>190</v>
      </c>
      <c r="B18" s="3">
        <v>4753308</v>
      </c>
      <c r="D18" s="2" t="s">
        <v>190</v>
      </c>
      <c r="E18" s="3">
        <v>4753308</v>
      </c>
    </row>
    <row r="21" spans="1:5" x14ac:dyDescent="0.25">
      <c r="A21" s="1" t="s">
        <v>189</v>
      </c>
      <c r="B21" t="s">
        <v>191</v>
      </c>
      <c r="D21" s="1" t="s">
        <v>189</v>
      </c>
      <c r="E21" t="s">
        <v>192</v>
      </c>
    </row>
    <row r="22" spans="1:5" x14ac:dyDescent="0.25">
      <c r="A22" s="2" t="s">
        <v>9</v>
      </c>
      <c r="B22" s="3">
        <v>1172202</v>
      </c>
      <c r="D22" s="2" t="s">
        <v>39</v>
      </c>
      <c r="E22" s="3">
        <v>606</v>
      </c>
    </row>
    <row r="23" spans="1:5" x14ac:dyDescent="0.25">
      <c r="A23" s="2" t="s">
        <v>13</v>
      </c>
      <c r="B23" s="3">
        <v>1245594</v>
      </c>
      <c r="D23" s="2" t="s">
        <v>33</v>
      </c>
      <c r="E23" s="3">
        <v>588</v>
      </c>
    </row>
    <row r="24" spans="1:5" x14ac:dyDescent="0.25">
      <c r="A24" s="2" t="s">
        <v>16</v>
      </c>
      <c r="B24" s="3">
        <v>1166792</v>
      </c>
      <c r="D24" s="2" t="s">
        <v>14</v>
      </c>
      <c r="E24" s="3">
        <v>644</v>
      </c>
    </row>
    <row r="25" spans="1:5" x14ac:dyDescent="0.25">
      <c r="A25" s="2" t="s">
        <v>25</v>
      </c>
      <c r="B25" s="3">
        <v>1168720</v>
      </c>
      <c r="D25" s="2" t="s">
        <v>22</v>
      </c>
      <c r="E25" s="3">
        <v>632</v>
      </c>
    </row>
    <row r="26" spans="1:5" x14ac:dyDescent="0.25">
      <c r="A26" s="2" t="s">
        <v>190</v>
      </c>
      <c r="B26" s="3">
        <v>4753308</v>
      </c>
      <c r="D26" s="2" t="s">
        <v>10</v>
      </c>
      <c r="E26" s="3">
        <v>629</v>
      </c>
    </row>
    <row r="27" spans="1:5" x14ac:dyDescent="0.25">
      <c r="D27" s="2" t="s">
        <v>190</v>
      </c>
      <c r="E27" s="3">
        <v>3099</v>
      </c>
    </row>
  </sheetData>
  <mergeCells count="1">
    <mergeCell ref="H1:N1"/>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1"/>
  <sheetViews>
    <sheetView workbookViewId="0">
      <selection activeCell="A2" sqref="A2:G501"/>
    </sheetView>
  </sheetViews>
  <sheetFormatPr defaultRowHeight="15" x14ac:dyDescent="0.25"/>
  <cols>
    <col min="1" max="1" width="12.85546875" customWidth="1"/>
    <col min="2" max="2" width="10.7109375" customWidth="1"/>
    <col min="3" max="3" width="11.5703125" customWidth="1"/>
    <col min="4" max="4" width="13.85546875" customWidth="1"/>
    <col min="5" max="5" width="12.85546875" customWidth="1"/>
    <col min="6" max="6" width="11" customWidth="1"/>
  </cols>
  <sheetData>
    <row r="1" spans="1:7" x14ac:dyDescent="0.25">
      <c r="A1" t="s">
        <v>0</v>
      </c>
      <c r="B1" t="s">
        <v>1</v>
      </c>
      <c r="C1" t="s">
        <v>2</v>
      </c>
      <c r="D1" t="s">
        <v>3</v>
      </c>
      <c r="E1" t="s">
        <v>4</v>
      </c>
      <c r="F1" t="s">
        <v>5</v>
      </c>
      <c r="G1" t="s">
        <v>6</v>
      </c>
    </row>
    <row r="2" spans="1:7" x14ac:dyDescent="0.25">
      <c r="A2" t="s">
        <v>7</v>
      </c>
      <c r="B2" t="s">
        <v>8</v>
      </c>
      <c r="C2" t="s">
        <v>9</v>
      </c>
      <c r="D2" t="s">
        <v>10</v>
      </c>
      <c r="E2">
        <v>5</v>
      </c>
      <c r="F2">
        <v>2870</v>
      </c>
      <c r="G2">
        <v>2095</v>
      </c>
    </row>
    <row r="3" spans="1:7" x14ac:dyDescent="0.25">
      <c r="A3" t="s">
        <v>11</v>
      </c>
      <c r="B3" t="s">
        <v>12</v>
      </c>
      <c r="C3" t="s">
        <v>13</v>
      </c>
      <c r="D3" t="s">
        <v>14</v>
      </c>
      <c r="E3">
        <v>8</v>
      </c>
      <c r="F3">
        <v>8272</v>
      </c>
      <c r="G3">
        <v>5707</v>
      </c>
    </row>
    <row r="4" spans="1:7" x14ac:dyDescent="0.25">
      <c r="A4" t="s">
        <v>15</v>
      </c>
      <c r="B4" t="s">
        <v>8</v>
      </c>
      <c r="C4" t="s">
        <v>16</v>
      </c>
      <c r="D4" t="s">
        <v>14</v>
      </c>
      <c r="E4">
        <v>13</v>
      </c>
      <c r="F4">
        <v>8658</v>
      </c>
      <c r="G4">
        <v>4935</v>
      </c>
    </row>
    <row r="5" spans="1:7" x14ac:dyDescent="0.25">
      <c r="A5" t="s">
        <v>17</v>
      </c>
      <c r="B5" t="s">
        <v>8</v>
      </c>
      <c r="C5" t="s">
        <v>9</v>
      </c>
      <c r="D5" t="s">
        <v>18</v>
      </c>
      <c r="E5">
        <v>13</v>
      </c>
      <c r="F5">
        <v>15665</v>
      </c>
      <c r="G5">
        <v>9242</v>
      </c>
    </row>
    <row r="6" spans="1:7" x14ac:dyDescent="0.25">
      <c r="A6" t="s">
        <v>19</v>
      </c>
      <c r="B6" t="s">
        <v>20</v>
      </c>
      <c r="C6" t="s">
        <v>9</v>
      </c>
      <c r="D6" t="s">
        <v>10</v>
      </c>
      <c r="E6">
        <v>5</v>
      </c>
      <c r="F6">
        <v>7445</v>
      </c>
      <c r="G6">
        <v>5360</v>
      </c>
    </row>
    <row r="7" spans="1:7" x14ac:dyDescent="0.25">
      <c r="A7" t="s">
        <v>21</v>
      </c>
      <c r="B7" t="s">
        <v>8</v>
      </c>
      <c r="C7" t="s">
        <v>13</v>
      </c>
      <c r="D7" t="s">
        <v>22</v>
      </c>
      <c r="E7">
        <v>9</v>
      </c>
      <c r="F7">
        <v>16344</v>
      </c>
      <c r="G7">
        <v>11277</v>
      </c>
    </row>
    <row r="8" spans="1:7" x14ac:dyDescent="0.25">
      <c r="A8" t="s">
        <v>23</v>
      </c>
      <c r="B8" t="s">
        <v>20</v>
      </c>
      <c r="C8" t="s">
        <v>13</v>
      </c>
      <c r="D8" t="s">
        <v>18</v>
      </c>
      <c r="E8">
        <v>8</v>
      </c>
      <c r="F8">
        <v>4336</v>
      </c>
      <c r="G8">
        <v>2471</v>
      </c>
    </row>
    <row r="9" spans="1:7" x14ac:dyDescent="0.25">
      <c r="A9" t="s">
        <v>24</v>
      </c>
      <c r="B9" t="s">
        <v>8</v>
      </c>
      <c r="C9" t="s">
        <v>25</v>
      </c>
      <c r="D9" t="s">
        <v>10</v>
      </c>
      <c r="E9">
        <v>2</v>
      </c>
      <c r="F9">
        <v>3396</v>
      </c>
      <c r="G9">
        <v>2139</v>
      </c>
    </row>
    <row r="10" spans="1:7" x14ac:dyDescent="0.25">
      <c r="A10" t="s">
        <v>26</v>
      </c>
      <c r="B10" t="s">
        <v>8</v>
      </c>
      <c r="C10" t="s">
        <v>9</v>
      </c>
      <c r="D10" t="s">
        <v>22</v>
      </c>
      <c r="E10">
        <v>16</v>
      </c>
      <c r="F10">
        <v>17104</v>
      </c>
      <c r="G10">
        <v>12828</v>
      </c>
    </row>
    <row r="11" spans="1:7" x14ac:dyDescent="0.25">
      <c r="A11" t="s">
        <v>27</v>
      </c>
      <c r="B11" t="s">
        <v>20</v>
      </c>
      <c r="C11" t="s">
        <v>25</v>
      </c>
      <c r="D11" t="s">
        <v>10</v>
      </c>
      <c r="E11">
        <v>16</v>
      </c>
      <c r="F11">
        <v>31872</v>
      </c>
      <c r="G11">
        <v>23585</v>
      </c>
    </row>
    <row r="12" spans="1:7" x14ac:dyDescent="0.25">
      <c r="A12" t="s">
        <v>28</v>
      </c>
      <c r="B12" t="s">
        <v>12</v>
      </c>
      <c r="C12" t="s">
        <v>25</v>
      </c>
      <c r="D12" t="s">
        <v>22</v>
      </c>
      <c r="E12">
        <v>16</v>
      </c>
      <c r="F12">
        <v>10704</v>
      </c>
      <c r="G12">
        <v>5459</v>
      </c>
    </row>
    <row r="13" spans="1:7" x14ac:dyDescent="0.25">
      <c r="A13" t="s">
        <v>29</v>
      </c>
      <c r="B13" t="s">
        <v>30</v>
      </c>
      <c r="C13" t="s">
        <v>16</v>
      </c>
      <c r="D13" t="s">
        <v>10</v>
      </c>
      <c r="E13">
        <v>4</v>
      </c>
      <c r="F13">
        <v>4892</v>
      </c>
      <c r="G13">
        <v>2788</v>
      </c>
    </row>
    <row r="14" spans="1:7" x14ac:dyDescent="0.25">
      <c r="A14" t="s">
        <v>31</v>
      </c>
      <c r="B14" t="s">
        <v>30</v>
      </c>
      <c r="C14" t="s">
        <v>9</v>
      </c>
      <c r="D14" t="s">
        <v>14</v>
      </c>
      <c r="E14">
        <v>7</v>
      </c>
      <c r="F14">
        <v>11200</v>
      </c>
      <c r="G14">
        <v>8400</v>
      </c>
    </row>
    <row r="15" spans="1:7" x14ac:dyDescent="0.25">
      <c r="A15" t="s">
        <v>32</v>
      </c>
      <c r="B15" t="s">
        <v>30</v>
      </c>
      <c r="C15" t="s">
        <v>13</v>
      </c>
      <c r="D15" t="s">
        <v>33</v>
      </c>
      <c r="E15">
        <v>12</v>
      </c>
      <c r="F15">
        <v>15816</v>
      </c>
      <c r="G15">
        <v>9489</v>
      </c>
    </row>
    <row r="16" spans="1:7" x14ac:dyDescent="0.25">
      <c r="A16" t="s">
        <v>34</v>
      </c>
      <c r="B16" t="s">
        <v>8</v>
      </c>
      <c r="C16" t="s">
        <v>25</v>
      </c>
      <c r="D16" t="s">
        <v>22</v>
      </c>
      <c r="E16">
        <v>12</v>
      </c>
      <c r="F16">
        <v>16032</v>
      </c>
      <c r="G16">
        <v>11062</v>
      </c>
    </row>
    <row r="17" spans="1:7" x14ac:dyDescent="0.25">
      <c r="A17" t="s">
        <v>35</v>
      </c>
      <c r="B17" t="s">
        <v>8</v>
      </c>
      <c r="C17" t="s">
        <v>9</v>
      </c>
      <c r="D17" t="s">
        <v>33</v>
      </c>
      <c r="E17">
        <v>8</v>
      </c>
      <c r="F17">
        <v>4792</v>
      </c>
      <c r="G17">
        <v>3546</v>
      </c>
    </row>
    <row r="18" spans="1:7" x14ac:dyDescent="0.25">
      <c r="A18" t="s">
        <v>36</v>
      </c>
      <c r="B18" t="s">
        <v>30</v>
      </c>
      <c r="C18" t="s">
        <v>16</v>
      </c>
      <c r="D18" t="s">
        <v>22</v>
      </c>
      <c r="E18">
        <v>19</v>
      </c>
      <c r="F18">
        <v>26239</v>
      </c>
      <c r="G18">
        <v>20466</v>
      </c>
    </row>
    <row r="19" spans="1:7" x14ac:dyDescent="0.25">
      <c r="A19" t="s">
        <v>37</v>
      </c>
      <c r="B19" t="s">
        <v>8</v>
      </c>
      <c r="C19" t="s">
        <v>13</v>
      </c>
      <c r="D19" t="s">
        <v>18</v>
      </c>
      <c r="E19">
        <v>3</v>
      </c>
      <c r="F19">
        <v>3408</v>
      </c>
      <c r="G19">
        <v>2147</v>
      </c>
    </row>
    <row r="20" spans="1:7" x14ac:dyDescent="0.25">
      <c r="A20" t="s">
        <v>38</v>
      </c>
      <c r="B20" t="s">
        <v>30</v>
      </c>
      <c r="C20" t="s">
        <v>25</v>
      </c>
      <c r="D20" t="s">
        <v>39</v>
      </c>
      <c r="E20">
        <v>9</v>
      </c>
      <c r="F20">
        <v>5814</v>
      </c>
      <c r="G20">
        <v>3488</v>
      </c>
    </row>
    <row r="21" spans="1:7" x14ac:dyDescent="0.25">
      <c r="A21" t="s">
        <v>40</v>
      </c>
      <c r="B21" t="s">
        <v>30</v>
      </c>
      <c r="C21" t="s">
        <v>9</v>
      </c>
      <c r="D21" t="s">
        <v>22</v>
      </c>
      <c r="E21">
        <v>17</v>
      </c>
      <c r="F21">
        <v>22032</v>
      </c>
      <c r="G21">
        <v>13659</v>
      </c>
    </row>
    <row r="22" spans="1:7" x14ac:dyDescent="0.25">
      <c r="A22" t="s">
        <v>41</v>
      </c>
      <c r="B22" t="s">
        <v>8</v>
      </c>
      <c r="C22" t="s">
        <v>16</v>
      </c>
      <c r="D22" t="s">
        <v>10</v>
      </c>
      <c r="E22">
        <v>8</v>
      </c>
      <c r="F22">
        <v>9856</v>
      </c>
      <c r="G22">
        <v>6504</v>
      </c>
    </row>
    <row r="23" spans="1:7" x14ac:dyDescent="0.25">
      <c r="A23" t="s">
        <v>42</v>
      </c>
      <c r="B23" t="s">
        <v>30</v>
      </c>
      <c r="C23" t="s">
        <v>9</v>
      </c>
      <c r="D23" t="s">
        <v>22</v>
      </c>
      <c r="E23">
        <v>20</v>
      </c>
      <c r="F23">
        <v>14060</v>
      </c>
      <c r="G23">
        <v>7592</v>
      </c>
    </row>
    <row r="24" spans="1:7" x14ac:dyDescent="0.25">
      <c r="A24" t="s">
        <v>43</v>
      </c>
      <c r="B24" t="s">
        <v>12</v>
      </c>
      <c r="C24" t="s">
        <v>25</v>
      </c>
      <c r="D24" t="s">
        <v>18</v>
      </c>
      <c r="E24">
        <v>19</v>
      </c>
      <c r="F24">
        <v>19912</v>
      </c>
      <c r="G24">
        <v>15531</v>
      </c>
    </row>
    <row r="25" spans="1:7" x14ac:dyDescent="0.25">
      <c r="A25" t="s">
        <v>11</v>
      </c>
      <c r="B25" t="s">
        <v>12</v>
      </c>
      <c r="C25" t="s">
        <v>16</v>
      </c>
      <c r="D25" t="s">
        <v>22</v>
      </c>
      <c r="E25">
        <v>10</v>
      </c>
      <c r="F25">
        <v>9540</v>
      </c>
      <c r="G25">
        <v>6868</v>
      </c>
    </row>
    <row r="26" spans="1:7" x14ac:dyDescent="0.25">
      <c r="A26" t="s">
        <v>44</v>
      </c>
      <c r="B26" t="s">
        <v>30</v>
      </c>
      <c r="C26" t="s">
        <v>13</v>
      </c>
      <c r="D26" t="s">
        <v>10</v>
      </c>
      <c r="E26">
        <v>17</v>
      </c>
      <c r="F26">
        <v>19210</v>
      </c>
      <c r="G26">
        <v>14407</v>
      </c>
    </row>
    <row r="27" spans="1:7" x14ac:dyDescent="0.25">
      <c r="A27" t="s">
        <v>45</v>
      </c>
      <c r="B27" t="s">
        <v>30</v>
      </c>
      <c r="C27" t="s">
        <v>13</v>
      </c>
      <c r="D27" t="s">
        <v>33</v>
      </c>
      <c r="E27">
        <v>5</v>
      </c>
      <c r="F27">
        <v>5680</v>
      </c>
      <c r="G27">
        <v>4373</v>
      </c>
    </row>
    <row r="28" spans="1:7" x14ac:dyDescent="0.25">
      <c r="A28" t="s">
        <v>46</v>
      </c>
      <c r="B28" t="s">
        <v>8</v>
      </c>
      <c r="C28" t="s">
        <v>25</v>
      </c>
      <c r="D28" t="s">
        <v>33</v>
      </c>
      <c r="E28">
        <v>1</v>
      </c>
      <c r="F28">
        <v>1990</v>
      </c>
      <c r="G28">
        <v>1393</v>
      </c>
    </row>
    <row r="29" spans="1:7" x14ac:dyDescent="0.25">
      <c r="A29" t="s">
        <v>47</v>
      </c>
      <c r="B29" t="s">
        <v>30</v>
      </c>
      <c r="C29" t="s">
        <v>16</v>
      </c>
      <c r="D29" t="s">
        <v>10</v>
      </c>
      <c r="E29">
        <v>10</v>
      </c>
      <c r="F29">
        <v>7220</v>
      </c>
      <c r="G29">
        <v>3826</v>
      </c>
    </row>
    <row r="30" spans="1:7" x14ac:dyDescent="0.25">
      <c r="A30" t="s">
        <v>36</v>
      </c>
      <c r="B30" t="s">
        <v>8</v>
      </c>
      <c r="C30" t="s">
        <v>16</v>
      </c>
      <c r="D30" t="s">
        <v>18</v>
      </c>
      <c r="E30">
        <v>4</v>
      </c>
      <c r="F30">
        <v>4304</v>
      </c>
      <c r="G30">
        <v>2195</v>
      </c>
    </row>
    <row r="31" spans="1:7" x14ac:dyDescent="0.25">
      <c r="A31" t="s">
        <v>35</v>
      </c>
      <c r="B31" t="s">
        <v>30</v>
      </c>
      <c r="C31" t="s">
        <v>9</v>
      </c>
      <c r="D31" t="s">
        <v>14</v>
      </c>
      <c r="E31">
        <v>7</v>
      </c>
      <c r="F31">
        <v>13419</v>
      </c>
      <c r="G31">
        <v>9393</v>
      </c>
    </row>
    <row r="32" spans="1:7" x14ac:dyDescent="0.25">
      <c r="A32" t="s">
        <v>48</v>
      </c>
      <c r="B32" t="s">
        <v>30</v>
      </c>
      <c r="C32" t="s">
        <v>25</v>
      </c>
      <c r="D32" t="s">
        <v>22</v>
      </c>
      <c r="E32">
        <v>13</v>
      </c>
      <c r="F32">
        <v>18889</v>
      </c>
      <c r="G32">
        <v>9633</v>
      </c>
    </row>
    <row r="33" spans="1:7" x14ac:dyDescent="0.25">
      <c r="A33" t="s">
        <v>24</v>
      </c>
      <c r="B33" t="s">
        <v>30</v>
      </c>
      <c r="C33" t="s">
        <v>16</v>
      </c>
      <c r="D33" t="s">
        <v>22</v>
      </c>
      <c r="E33">
        <v>9</v>
      </c>
      <c r="F33">
        <v>8505</v>
      </c>
      <c r="G33">
        <v>6038</v>
      </c>
    </row>
    <row r="34" spans="1:7" x14ac:dyDescent="0.25">
      <c r="A34" t="s">
        <v>49</v>
      </c>
      <c r="B34" t="s">
        <v>30</v>
      </c>
      <c r="C34" t="s">
        <v>16</v>
      </c>
      <c r="D34" t="s">
        <v>39</v>
      </c>
      <c r="E34">
        <v>5</v>
      </c>
      <c r="F34">
        <v>3425</v>
      </c>
      <c r="G34">
        <v>2500</v>
      </c>
    </row>
    <row r="35" spans="1:7" x14ac:dyDescent="0.25">
      <c r="A35" t="s">
        <v>50</v>
      </c>
      <c r="B35" t="s">
        <v>8</v>
      </c>
      <c r="C35" t="s">
        <v>9</v>
      </c>
      <c r="D35" t="s">
        <v>39</v>
      </c>
      <c r="E35">
        <v>2</v>
      </c>
      <c r="F35">
        <v>2748</v>
      </c>
      <c r="G35">
        <v>2061</v>
      </c>
    </row>
    <row r="36" spans="1:7" x14ac:dyDescent="0.25">
      <c r="A36" t="s">
        <v>32</v>
      </c>
      <c r="B36" t="s">
        <v>12</v>
      </c>
      <c r="C36" t="s">
        <v>16</v>
      </c>
      <c r="D36" t="s">
        <v>14</v>
      </c>
      <c r="E36">
        <v>13</v>
      </c>
      <c r="F36">
        <v>20163</v>
      </c>
      <c r="G36">
        <v>11089</v>
      </c>
    </row>
    <row r="37" spans="1:7" x14ac:dyDescent="0.25">
      <c r="A37" t="s">
        <v>51</v>
      </c>
      <c r="B37" t="s">
        <v>20</v>
      </c>
      <c r="C37" t="s">
        <v>16</v>
      </c>
      <c r="D37" t="s">
        <v>14</v>
      </c>
      <c r="E37">
        <v>13</v>
      </c>
      <c r="F37">
        <v>20696</v>
      </c>
      <c r="G37">
        <v>15522</v>
      </c>
    </row>
    <row r="38" spans="1:7" x14ac:dyDescent="0.25">
      <c r="A38" t="s">
        <v>52</v>
      </c>
      <c r="B38" t="s">
        <v>20</v>
      </c>
      <c r="C38" t="s">
        <v>13</v>
      </c>
      <c r="D38" t="s">
        <v>18</v>
      </c>
      <c r="E38">
        <v>8</v>
      </c>
      <c r="F38">
        <v>5872</v>
      </c>
      <c r="G38">
        <v>4638</v>
      </c>
    </row>
    <row r="39" spans="1:7" x14ac:dyDescent="0.25">
      <c r="A39" t="s">
        <v>53</v>
      </c>
      <c r="B39" t="s">
        <v>8</v>
      </c>
      <c r="C39" t="s">
        <v>9</v>
      </c>
      <c r="D39" t="s">
        <v>33</v>
      </c>
      <c r="E39">
        <v>16</v>
      </c>
      <c r="F39">
        <v>30048</v>
      </c>
      <c r="G39">
        <v>17427</v>
      </c>
    </row>
    <row r="40" spans="1:7" x14ac:dyDescent="0.25">
      <c r="A40" t="s">
        <v>54</v>
      </c>
      <c r="B40" t="s">
        <v>8</v>
      </c>
      <c r="C40" t="s">
        <v>13</v>
      </c>
      <c r="D40" t="s">
        <v>22</v>
      </c>
      <c r="E40">
        <v>10</v>
      </c>
      <c r="F40">
        <v>10830</v>
      </c>
      <c r="G40">
        <v>7472</v>
      </c>
    </row>
    <row r="41" spans="1:7" x14ac:dyDescent="0.25">
      <c r="A41" t="s">
        <v>55</v>
      </c>
      <c r="B41" t="s">
        <v>20</v>
      </c>
      <c r="C41" t="s">
        <v>25</v>
      </c>
      <c r="D41" t="s">
        <v>10</v>
      </c>
      <c r="E41">
        <v>12</v>
      </c>
      <c r="F41">
        <v>18576</v>
      </c>
      <c r="G41">
        <v>13932</v>
      </c>
    </row>
    <row r="42" spans="1:7" x14ac:dyDescent="0.25">
      <c r="A42" t="s">
        <v>56</v>
      </c>
      <c r="B42" t="s">
        <v>30</v>
      </c>
      <c r="C42" t="s">
        <v>16</v>
      </c>
      <c r="D42" t="s">
        <v>14</v>
      </c>
      <c r="E42">
        <v>5</v>
      </c>
      <c r="F42">
        <v>6700</v>
      </c>
      <c r="G42">
        <v>3551</v>
      </c>
    </row>
    <row r="43" spans="1:7" x14ac:dyDescent="0.25">
      <c r="A43" t="s">
        <v>43</v>
      </c>
      <c r="B43" t="s">
        <v>30</v>
      </c>
      <c r="C43" t="s">
        <v>9</v>
      </c>
      <c r="D43" t="s">
        <v>18</v>
      </c>
      <c r="E43">
        <v>19</v>
      </c>
      <c r="F43">
        <v>12673</v>
      </c>
      <c r="G43">
        <v>8871</v>
      </c>
    </row>
    <row r="44" spans="1:7" x14ac:dyDescent="0.25">
      <c r="A44" t="s">
        <v>57</v>
      </c>
      <c r="B44" t="s">
        <v>30</v>
      </c>
      <c r="C44" t="s">
        <v>25</v>
      </c>
      <c r="D44" t="s">
        <v>14</v>
      </c>
      <c r="E44">
        <v>1</v>
      </c>
      <c r="F44">
        <v>596</v>
      </c>
      <c r="G44">
        <v>345</v>
      </c>
    </row>
    <row r="45" spans="1:7" x14ac:dyDescent="0.25">
      <c r="A45" t="s">
        <v>58</v>
      </c>
      <c r="B45" t="s">
        <v>12</v>
      </c>
      <c r="C45" t="s">
        <v>13</v>
      </c>
      <c r="D45" t="s">
        <v>39</v>
      </c>
      <c r="E45">
        <v>13</v>
      </c>
      <c r="F45">
        <v>12103</v>
      </c>
      <c r="G45">
        <v>6656</v>
      </c>
    </row>
    <row r="46" spans="1:7" x14ac:dyDescent="0.25">
      <c r="A46" t="s">
        <v>44</v>
      </c>
      <c r="B46" t="s">
        <v>30</v>
      </c>
      <c r="C46" t="s">
        <v>25</v>
      </c>
      <c r="D46" t="s">
        <v>10</v>
      </c>
      <c r="E46">
        <v>14</v>
      </c>
      <c r="F46">
        <v>12306</v>
      </c>
      <c r="G46">
        <v>8368</v>
      </c>
    </row>
    <row r="47" spans="1:7" x14ac:dyDescent="0.25">
      <c r="A47" t="s">
        <v>59</v>
      </c>
      <c r="B47" t="s">
        <v>12</v>
      </c>
      <c r="C47" t="s">
        <v>9</v>
      </c>
      <c r="D47" t="s">
        <v>14</v>
      </c>
      <c r="E47">
        <v>14</v>
      </c>
      <c r="F47">
        <v>14966</v>
      </c>
      <c r="G47">
        <v>9428</v>
      </c>
    </row>
    <row r="48" spans="1:7" x14ac:dyDescent="0.25">
      <c r="A48" t="s">
        <v>60</v>
      </c>
      <c r="B48" t="s">
        <v>20</v>
      </c>
      <c r="C48" t="s">
        <v>16</v>
      </c>
      <c r="D48" t="s">
        <v>14</v>
      </c>
      <c r="E48">
        <v>3</v>
      </c>
      <c r="F48">
        <v>3897</v>
      </c>
      <c r="G48">
        <v>2455</v>
      </c>
    </row>
    <row r="49" spans="1:7" x14ac:dyDescent="0.25">
      <c r="A49" t="s">
        <v>61</v>
      </c>
      <c r="B49" t="s">
        <v>20</v>
      </c>
      <c r="C49" t="s">
        <v>25</v>
      </c>
      <c r="D49" t="s">
        <v>14</v>
      </c>
      <c r="E49">
        <v>9</v>
      </c>
      <c r="F49">
        <v>15480</v>
      </c>
      <c r="G49">
        <v>11300</v>
      </c>
    </row>
    <row r="50" spans="1:7" x14ac:dyDescent="0.25">
      <c r="A50" t="s">
        <v>62</v>
      </c>
      <c r="B50" t="s">
        <v>20</v>
      </c>
      <c r="C50" t="s">
        <v>13</v>
      </c>
      <c r="D50" t="s">
        <v>22</v>
      </c>
      <c r="E50">
        <v>18</v>
      </c>
      <c r="F50">
        <v>23274</v>
      </c>
      <c r="G50">
        <v>16059</v>
      </c>
    </row>
    <row r="51" spans="1:7" x14ac:dyDescent="0.25">
      <c r="A51" t="s">
        <v>63</v>
      </c>
      <c r="B51" t="s">
        <v>8</v>
      </c>
      <c r="C51" t="s">
        <v>9</v>
      </c>
      <c r="D51" t="s">
        <v>10</v>
      </c>
      <c r="E51">
        <v>10</v>
      </c>
      <c r="F51">
        <v>11800</v>
      </c>
      <c r="G51">
        <v>8850</v>
      </c>
    </row>
    <row r="52" spans="1:7" x14ac:dyDescent="0.25">
      <c r="A52" t="s">
        <v>64</v>
      </c>
      <c r="B52" t="s">
        <v>12</v>
      </c>
      <c r="C52" t="s">
        <v>25</v>
      </c>
      <c r="D52" t="s">
        <v>22</v>
      </c>
      <c r="E52">
        <v>20</v>
      </c>
      <c r="F52">
        <v>19400</v>
      </c>
      <c r="G52">
        <v>11446</v>
      </c>
    </row>
    <row r="53" spans="1:7" x14ac:dyDescent="0.25">
      <c r="A53" t="s">
        <v>65</v>
      </c>
      <c r="B53" t="s">
        <v>8</v>
      </c>
      <c r="C53" t="s">
        <v>13</v>
      </c>
      <c r="D53" t="s">
        <v>10</v>
      </c>
      <c r="E53">
        <v>13</v>
      </c>
      <c r="F53">
        <v>17693</v>
      </c>
      <c r="G53">
        <v>11323</v>
      </c>
    </row>
    <row r="54" spans="1:7" x14ac:dyDescent="0.25">
      <c r="A54" t="s">
        <v>66</v>
      </c>
      <c r="B54" t="s">
        <v>30</v>
      </c>
      <c r="C54" t="s">
        <v>13</v>
      </c>
      <c r="D54" t="s">
        <v>39</v>
      </c>
      <c r="E54">
        <v>14</v>
      </c>
      <c r="F54">
        <v>15918</v>
      </c>
      <c r="G54">
        <v>11301</v>
      </c>
    </row>
    <row r="55" spans="1:7" x14ac:dyDescent="0.25">
      <c r="A55" t="s">
        <v>67</v>
      </c>
      <c r="B55" t="s">
        <v>12</v>
      </c>
      <c r="C55" t="s">
        <v>9</v>
      </c>
      <c r="D55" t="s">
        <v>39</v>
      </c>
      <c r="E55">
        <v>4</v>
      </c>
      <c r="F55">
        <v>6856</v>
      </c>
      <c r="G55">
        <v>4867</v>
      </c>
    </row>
    <row r="56" spans="1:7" x14ac:dyDescent="0.25">
      <c r="A56" t="s">
        <v>68</v>
      </c>
      <c r="B56" t="s">
        <v>20</v>
      </c>
      <c r="C56" t="s">
        <v>16</v>
      </c>
      <c r="D56" t="s">
        <v>18</v>
      </c>
      <c r="E56">
        <v>9</v>
      </c>
      <c r="F56">
        <v>6129</v>
      </c>
      <c r="G56">
        <v>4351</v>
      </c>
    </row>
    <row r="57" spans="1:7" x14ac:dyDescent="0.25">
      <c r="A57" t="s">
        <v>69</v>
      </c>
      <c r="B57" t="s">
        <v>8</v>
      </c>
      <c r="C57" t="s">
        <v>9</v>
      </c>
      <c r="D57" t="s">
        <v>39</v>
      </c>
      <c r="E57">
        <v>8</v>
      </c>
      <c r="F57">
        <v>14784</v>
      </c>
      <c r="G57">
        <v>9166</v>
      </c>
    </row>
    <row r="58" spans="1:7" x14ac:dyDescent="0.25">
      <c r="A58" t="s">
        <v>69</v>
      </c>
      <c r="B58" t="s">
        <v>8</v>
      </c>
      <c r="C58" t="s">
        <v>16</v>
      </c>
      <c r="D58" t="s">
        <v>18</v>
      </c>
      <c r="E58">
        <v>16</v>
      </c>
      <c r="F58">
        <v>31024</v>
      </c>
      <c r="G58">
        <v>20475</v>
      </c>
    </row>
    <row r="59" spans="1:7" x14ac:dyDescent="0.25">
      <c r="A59" t="s">
        <v>70</v>
      </c>
      <c r="B59" t="s">
        <v>30</v>
      </c>
      <c r="C59" t="s">
        <v>13</v>
      </c>
      <c r="D59" t="s">
        <v>18</v>
      </c>
      <c r="E59">
        <v>13</v>
      </c>
      <c r="F59">
        <v>23153</v>
      </c>
      <c r="G59">
        <v>16207</v>
      </c>
    </row>
    <row r="60" spans="1:7" x14ac:dyDescent="0.25">
      <c r="A60" t="s">
        <v>71</v>
      </c>
      <c r="B60" t="s">
        <v>30</v>
      </c>
      <c r="C60" t="s">
        <v>25</v>
      </c>
      <c r="D60" t="s">
        <v>14</v>
      </c>
      <c r="E60">
        <v>14</v>
      </c>
      <c r="F60">
        <v>23548</v>
      </c>
      <c r="G60">
        <v>13657</v>
      </c>
    </row>
    <row r="61" spans="1:7" x14ac:dyDescent="0.25">
      <c r="A61" t="s">
        <v>54</v>
      </c>
      <c r="B61" t="s">
        <v>8</v>
      </c>
      <c r="C61" t="s">
        <v>9</v>
      </c>
      <c r="D61" t="s">
        <v>22</v>
      </c>
      <c r="E61">
        <v>18</v>
      </c>
      <c r="F61">
        <v>16416</v>
      </c>
      <c r="G61">
        <v>12804</v>
      </c>
    </row>
    <row r="62" spans="1:7" x14ac:dyDescent="0.25">
      <c r="A62" t="s">
        <v>72</v>
      </c>
      <c r="B62" t="s">
        <v>8</v>
      </c>
      <c r="C62" t="s">
        <v>16</v>
      </c>
      <c r="D62" t="s">
        <v>10</v>
      </c>
      <c r="E62">
        <v>8</v>
      </c>
      <c r="F62">
        <v>13944</v>
      </c>
      <c r="G62">
        <v>9621</v>
      </c>
    </row>
    <row r="63" spans="1:7" x14ac:dyDescent="0.25">
      <c r="A63" t="s">
        <v>73</v>
      </c>
      <c r="B63" t="s">
        <v>30</v>
      </c>
      <c r="C63" t="s">
        <v>13</v>
      </c>
      <c r="D63" t="s">
        <v>39</v>
      </c>
      <c r="E63">
        <v>6</v>
      </c>
      <c r="F63">
        <v>3912</v>
      </c>
      <c r="G63">
        <v>2973</v>
      </c>
    </row>
    <row r="64" spans="1:7" x14ac:dyDescent="0.25">
      <c r="A64" t="s">
        <v>74</v>
      </c>
      <c r="B64" t="s">
        <v>12</v>
      </c>
      <c r="C64" t="s">
        <v>9</v>
      </c>
      <c r="D64" t="s">
        <v>22</v>
      </c>
      <c r="E64">
        <v>3</v>
      </c>
      <c r="F64">
        <v>5463</v>
      </c>
      <c r="G64">
        <v>3223</v>
      </c>
    </row>
    <row r="65" spans="1:7" x14ac:dyDescent="0.25">
      <c r="A65" t="s">
        <v>75</v>
      </c>
      <c r="B65" t="s">
        <v>12</v>
      </c>
      <c r="C65" t="s">
        <v>9</v>
      </c>
      <c r="D65" t="s">
        <v>39</v>
      </c>
      <c r="E65">
        <v>9</v>
      </c>
      <c r="F65">
        <v>11457</v>
      </c>
      <c r="G65">
        <v>8249</v>
      </c>
    </row>
    <row r="66" spans="1:7" x14ac:dyDescent="0.25">
      <c r="A66" t="s">
        <v>73</v>
      </c>
      <c r="B66" t="s">
        <v>30</v>
      </c>
      <c r="C66" t="s">
        <v>16</v>
      </c>
      <c r="D66" t="s">
        <v>14</v>
      </c>
      <c r="E66">
        <v>4</v>
      </c>
      <c r="F66">
        <v>7356</v>
      </c>
      <c r="G66">
        <v>3751</v>
      </c>
    </row>
    <row r="67" spans="1:7" x14ac:dyDescent="0.25">
      <c r="A67" t="s">
        <v>66</v>
      </c>
      <c r="B67" t="s">
        <v>20</v>
      </c>
      <c r="C67" t="s">
        <v>25</v>
      </c>
      <c r="D67" t="s">
        <v>33</v>
      </c>
      <c r="E67">
        <v>15</v>
      </c>
      <c r="F67">
        <v>11670</v>
      </c>
      <c r="G67">
        <v>6418</v>
      </c>
    </row>
    <row r="68" spans="1:7" x14ac:dyDescent="0.25">
      <c r="A68" t="s">
        <v>76</v>
      </c>
      <c r="B68" t="s">
        <v>12</v>
      </c>
      <c r="C68" t="s">
        <v>16</v>
      </c>
      <c r="D68" t="s">
        <v>22</v>
      </c>
      <c r="E68">
        <v>18</v>
      </c>
      <c r="F68">
        <v>16038</v>
      </c>
      <c r="G68">
        <v>8179</v>
      </c>
    </row>
    <row r="69" spans="1:7" x14ac:dyDescent="0.25">
      <c r="A69" t="s">
        <v>77</v>
      </c>
      <c r="B69" t="s">
        <v>12</v>
      </c>
      <c r="C69" t="s">
        <v>13</v>
      </c>
      <c r="D69" t="s">
        <v>18</v>
      </c>
      <c r="E69">
        <v>3</v>
      </c>
      <c r="F69">
        <v>5667</v>
      </c>
      <c r="G69">
        <v>4363</v>
      </c>
    </row>
    <row r="70" spans="1:7" x14ac:dyDescent="0.25">
      <c r="A70" t="s">
        <v>78</v>
      </c>
      <c r="B70" t="s">
        <v>12</v>
      </c>
      <c r="C70" t="s">
        <v>13</v>
      </c>
      <c r="D70" t="s">
        <v>33</v>
      </c>
      <c r="E70">
        <v>8</v>
      </c>
      <c r="F70">
        <v>15184</v>
      </c>
      <c r="G70">
        <v>10476</v>
      </c>
    </row>
    <row r="71" spans="1:7" x14ac:dyDescent="0.25">
      <c r="A71" t="s">
        <v>79</v>
      </c>
      <c r="B71" t="s">
        <v>12</v>
      </c>
      <c r="C71" t="s">
        <v>13</v>
      </c>
      <c r="D71" t="s">
        <v>33</v>
      </c>
      <c r="E71">
        <v>13</v>
      </c>
      <c r="F71">
        <v>16536</v>
      </c>
      <c r="G71">
        <v>10913</v>
      </c>
    </row>
    <row r="72" spans="1:7" x14ac:dyDescent="0.25">
      <c r="A72" t="s">
        <v>80</v>
      </c>
      <c r="B72" t="s">
        <v>20</v>
      </c>
      <c r="C72" t="s">
        <v>16</v>
      </c>
      <c r="D72" t="s">
        <v>18</v>
      </c>
      <c r="E72">
        <v>19</v>
      </c>
      <c r="F72">
        <v>24472</v>
      </c>
      <c r="G72">
        <v>14438</v>
      </c>
    </row>
    <row r="73" spans="1:7" x14ac:dyDescent="0.25">
      <c r="A73" t="s">
        <v>81</v>
      </c>
      <c r="B73" t="s">
        <v>8</v>
      </c>
      <c r="C73" t="s">
        <v>25</v>
      </c>
      <c r="D73" t="s">
        <v>22</v>
      </c>
      <c r="E73">
        <v>11</v>
      </c>
      <c r="F73">
        <v>13893</v>
      </c>
      <c r="G73">
        <v>8474</v>
      </c>
    </row>
    <row r="74" spans="1:7" x14ac:dyDescent="0.25">
      <c r="A74" t="s">
        <v>72</v>
      </c>
      <c r="B74" t="s">
        <v>30</v>
      </c>
      <c r="C74" t="s">
        <v>25</v>
      </c>
      <c r="D74" t="s">
        <v>22</v>
      </c>
      <c r="E74">
        <v>8</v>
      </c>
      <c r="F74">
        <v>12928</v>
      </c>
      <c r="G74">
        <v>7498</v>
      </c>
    </row>
    <row r="75" spans="1:7" x14ac:dyDescent="0.25">
      <c r="A75" t="s">
        <v>82</v>
      </c>
      <c r="B75" t="s">
        <v>12</v>
      </c>
      <c r="C75" t="s">
        <v>25</v>
      </c>
      <c r="D75" t="s">
        <v>22</v>
      </c>
      <c r="E75">
        <v>7</v>
      </c>
      <c r="F75">
        <v>7602</v>
      </c>
      <c r="G75">
        <v>5625</v>
      </c>
    </row>
    <row r="76" spans="1:7" x14ac:dyDescent="0.25">
      <c r="A76" t="s">
        <v>65</v>
      </c>
      <c r="B76" t="s">
        <v>8</v>
      </c>
      <c r="C76" t="s">
        <v>25</v>
      </c>
      <c r="D76" t="s">
        <v>39</v>
      </c>
      <c r="E76">
        <v>12</v>
      </c>
      <c r="F76">
        <v>21912</v>
      </c>
      <c r="G76">
        <v>14242</v>
      </c>
    </row>
    <row r="77" spans="1:7" x14ac:dyDescent="0.25">
      <c r="A77" t="s">
        <v>74</v>
      </c>
      <c r="B77" t="s">
        <v>12</v>
      </c>
      <c r="C77" t="s">
        <v>9</v>
      </c>
      <c r="D77" t="s">
        <v>39</v>
      </c>
      <c r="E77">
        <v>2</v>
      </c>
      <c r="F77">
        <v>3102</v>
      </c>
      <c r="G77">
        <v>1644</v>
      </c>
    </row>
    <row r="78" spans="1:7" x14ac:dyDescent="0.25">
      <c r="A78" t="s">
        <v>47</v>
      </c>
      <c r="B78" t="s">
        <v>8</v>
      </c>
      <c r="C78" t="s">
        <v>25</v>
      </c>
      <c r="D78" t="s">
        <v>14</v>
      </c>
      <c r="E78">
        <v>11</v>
      </c>
      <c r="F78">
        <v>17798</v>
      </c>
      <c r="G78">
        <v>11212</v>
      </c>
    </row>
    <row r="79" spans="1:7" x14ac:dyDescent="0.25">
      <c r="A79" t="s">
        <v>56</v>
      </c>
      <c r="B79" t="s">
        <v>20</v>
      </c>
      <c r="C79" t="s">
        <v>13</v>
      </c>
      <c r="D79" t="s">
        <v>33</v>
      </c>
      <c r="E79">
        <v>14</v>
      </c>
      <c r="F79">
        <v>22680</v>
      </c>
      <c r="G79">
        <v>15649</v>
      </c>
    </row>
    <row r="80" spans="1:7" x14ac:dyDescent="0.25">
      <c r="A80" t="s">
        <v>83</v>
      </c>
      <c r="B80" t="s">
        <v>12</v>
      </c>
      <c r="C80" t="s">
        <v>13</v>
      </c>
      <c r="D80" t="s">
        <v>39</v>
      </c>
      <c r="E80">
        <v>14</v>
      </c>
      <c r="F80">
        <v>18550</v>
      </c>
      <c r="G80">
        <v>9275</v>
      </c>
    </row>
    <row r="81" spans="1:7" x14ac:dyDescent="0.25">
      <c r="A81" t="s">
        <v>84</v>
      </c>
      <c r="B81" t="s">
        <v>8</v>
      </c>
      <c r="C81" t="s">
        <v>13</v>
      </c>
      <c r="D81" t="s">
        <v>14</v>
      </c>
      <c r="E81">
        <v>6</v>
      </c>
      <c r="F81">
        <v>11490</v>
      </c>
      <c r="G81">
        <v>7123</v>
      </c>
    </row>
    <row r="82" spans="1:7" x14ac:dyDescent="0.25">
      <c r="A82" t="s">
        <v>85</v>
      </c>
      <c r="B82" t="s">
        <v>20</v>
      </c>
      <c r="C82" t="s">
        <v>16</v>
      </c>
      <c r="D82" t="s">
        <v>33</v>
      </c>
      <c r="E82">
        <v>15</v>
      </c>
      <c r="F82">
        <v>16080</v>
      </c>
      <c r="G82">
        <v>8522</v>
      </c>
    </row>
    <row r="83" spans="1:7" x14ac:dyDescent="0.25">
      <c r="A83" t="s">
        <v>79</v>
      </c>
      <c r="B83" t="s">
        <v>30</v>
      </c>
      <c r="C83" t="s">
        <v>16</v>
      </c>
      <c r="D83" t="s">
        <v>33</v>
      </c>
      <c r="E83">
        <v>13</v>
      </c>
      <c r="F83">
        <v>11050</v>
      </c>
      <c r="G83">
        <v>8287</v>
      </c>
    </row>
    <row r="84" spans="1:7" x14ac:dyDescent="0.25">
      <c r="A84" t="s">
        <v>31</v>
      </c>
      <c r="B84" t="s">
        <v>12</v>
      </c>
      <c r="C84" t="s">
        <v>25</v>
      </c>
      <c r="D84" t="s">
        <v>14</v>
      </c>
      <c r="E84">
        <v>6</v>
      </c>
      <c r="F84">
        <v>4932</v>
      </c>
      <c r="G84">
        <v>2663</v>
      </c>
    </row>
    <row r="85" spans="1:7" x14ac:dyDescent="0.25">
      <c r="A85" t="s">
        <v>86</v>
      </c>
      <c r="B85" t="s">
        <v>8</v>
      </c>
      <c r="C85" t="s">
        <v>9</v>
      </c>
      <c r="D85" t="s">
        <v>22</v>
      </c>
      <c r="E85">
        <v>4</v>
      </c>
      <c r="F85">
        <v>5536</v>
      </c>
      <c r="G85">
        <v>3155</v>
      </c>
    </row>
    <row r="86" spans="1:7" x14ac:dyDescent="0.25">
      <c r="A86" t="s">
        <v>87</v>
      </c>
      <c r="B86" t="s">
        <v>8</v>
      </c>
      <c r="C86" t="s">
        <v>9</v>
      </c>
      <c r="D86" t="s">
        <v>33</v>
      </c>
      <c r="E86">
        <v>3</v>
      </c>
      <c r="F86">
        <v>4314</v>
      </c>
      <c r="G86">
        <v>2372</v>
      </c>
    </row>
    <row r="87" spans="1:7" x14ac:dyDescent="0.25">
      <c r="A87" t="s">
        <v>17</v>
      </c>
      <c r="B87" t="s">
        <v>30</v>
      </c>
      <c r="C87" t="s">
        <v>9</v>
      </c>
      <c r="D87" t="s">
        <v>10</v>
      </c>
      <c r="E87">
        <v>4</v>
      </c>
      <c r="F87">
        <v>5752</v>
      </c>
      <c r="G87">
        <v>3508</v>
      </c>
    </row>
    <row r="88" spans="1:7" x14ac:dyDescent="0.25">
      <c r="A88" t="s">
        <v>88</v>
      </c>
      <c r="B88" t="s">
        <v>30</v>
      </c>
      <c r="C88" t="s">
        <v>25</v>
      </c>
      <c r="D88" t="s">
        <v>10</v>
      </c>
      <c r="E88">
        <v>18</v>
      </c>
      <c r="F88">
        <v>10854</v>
      </c>
      <c r="G88">
        <v>5535</v>
      </c>
    </row>
    <row r="89" spans="1:7" x14ac:dyDescent="0.25">
      <c r="A89" t="s">
        <v>89</v>
      </c>
      <c r="B89" t="s">
        <v>30</v>
      </c>
      <c r="C89" t="s">
        <v>9</v>
      </c>
      <c r="D89" t="s">
        <v>18</v>
      </c>
      <c r="E89">
        <v>4</v>
      </c>
      <c r="F89">
        <v>3496</v>
      </c>
      <c r="G89">
        <v>2412</v>
      </c>
    </row>
    <row r="90" spans="1:7" x14ac:dyDescent="0.25">
      <c r="A90" t="s">
        <v>38</v>
      </c>
      <c r="B90" t="s">
        <v>12</v>
      </c>
      <c r="C90" t="s">
        <v>25</v>
      </c>
      <c r="D90" t="s">
        <v>39</v>
      </c>
      <c r="E90">
        <v>8</v>
      </c>
      <c r="F90">
        <v>6752</v>
      </c>
      <c r="G90">
        <v>3646</v>
      </c>
    </row>
    <row r="91" spans="1:7" x14ac:dyDescent="0.25">
      <c r="A91" t="s">
        <v>87</v>
      </c>
      <c r="B91" t="s">
        <v>20</v>
      </c>
      <c r="C91" t="s">
        <v>25</v>
      </c>
      <c r="D91" t="s">
        <v>22</v>
      </c>
      <c r="E91">
        <v>5</v>
      </c>
      <c r="F91">
        <v>8795</v>
      </c>
      <c r="G91">
        <v>5364</v>
      </c>
    </row>
    <row r="92" spans="1:7" x14ac:dyDescent="0.25">
      <c r="A92" t="s">
        <v>35</v>
      </c>
      <c r="B92" t="s">
        <v>8</v>
      </c>
      <c r="C92" t="s">
        <v>16</v>
      </c>
      <c r="D92" t="s">
        <v>22</v>
      </c>
      <c r="E92">
        <v>11</v>
      </c>
      <c r="F92">
        <v>7172</v>
      </c>
      <c r="G92">
        <v>4805</v>
      </c>
    </row>
    <row r="93" spans="1:7" x14ac:dyDescent="0.25">
      <c r="A93" t="s">
        <v>90</v>
      </c>
      <c r="B93" t="s">
        <v>20</v>
      </c>
      <c r="C93" t="s">
        <v>25</v>
      </c>
      <c r="D93" t="s">
        <v>18</v>
      </c>
      <c r="E93">
        <v>16</v>
      </c>
      <c r="F93">
        <v>24704</v>
      </c>
      <c r="G93">
        <v>18528</v>
      </c>
    </row>
    <row r="94" spans="1:7" x14ac:dyDescent="0.25">
      <c r="A94" t="s">
        <v>91</v>
      </c>
      <c r="B94" t="s">
        <v>30</v>
      </c>
      <c r="C94" t="s">
        <v>9</v>
      </c>
      <c r="D94" t="s">
        <v>33</v>
      </c>
      <c r="E94">
        <v>5</v>
      </c>
      <c r="F94">
        <v>3320</v>
      </c>
      <c r="G94">
        <v>2622</v>
      </c>
    </row>
    <row r="95" spans="1:7" x14ac:dyDescent="0.25">
      <c r="A95" t="s">
        <v>62</v>
      </c>
      <c r="B95" t="s">
        <v>20</v>
      </c>
      <c r="C95" t="s">
        <v>16</v>
      </c>
      <c r="D95" t="s">
        <v>22</v>
      </c>
      <c r="E95">
        <v>11</v>
      </c>
      <c r="F95">
        <v>12947</v>
      </c>
      <c r="G95">
        <v>6861</v>
      </c>
    </row>
    <row r="96" spans="1:7" x14ac:dyDescent="0.25">
      <c r="A96" t="s">
        <v>43</v>
      </c>
      <c r="B96" t="s">
        <v>12</v>
      </c>
      <c r="C96" t="s">
        <v>25</v>
      </c>
      <c r="D96" t="s">
        <v>18</v>
      </c>
      <c r="E96">
        <v>10</v>
      </c>
      <c r="F96">
        <v>12060</v>
      </c>
      <c r="G96">
        <v>6633</v>
      </c>
    </row>
    <row r="97" spans="1:7" x14ac:dyDescent="0.25">
      <c r="A97" t="s">
        <v>92</v>
      </c>
      <c r="B97" t="s">
        <v>20</v>
      </c>
      <c r="C97" t="s">
        <v>16</v>
      </c>
      <c r="D97" t="s">
        <v>14</v>
      </c>
      <c r="E97">
        <v>12</v>
      </c>
      <c r="F97">
        <v>18432</v>
      </c>
      <c r="G97">
        <v>10321</v>
      </c>
    </row>
    <row r="98" spans="1:7" x14ac:dyDescent="0.25">
      <c r="A98" t="s">
        <v>45</v>
      </c>
      <c r="B98" t="s">
        <v>30</v>
      </c>
      <c r="C98" t="s">
        <v>16</v>
      </c>
      <c r="D98" t="s">
        <v>33</v>
      </c>
      <c r="E98">
        <v>4</v>
      </c>
      <c r="F98">
        <v>4008</v>
      </c>
      <c r="G98">
        <v>2244</v>
      </c>
    </row>
    <row r="99" spans="1:7" x14ac:dyDescent="0.25">
      <c r="A99" t="s">
        <v>93</v>
      </c>
      <c r="B99" t="s">
        <v>30</v>
      </c>
      <c r="C99" t="s">
        <v>16</v>
      </c>
      <c r="D99" t="s">
        <v>22</v>
      </c>
      <c r="E99">
        <v>20</v>
      </c>
      <c r="F99">
        <v>10980</v>
      </c>
      <c r="G99">
        <v>6148</v>
      </c>
    </row>
    <row r="100" spans="1:7" x14ac:dyDescent="0.25">
      <c r="A100" t="s">
        <v>94</v>
      </c>
      <c r="B100" t="s">
        <v>30</v>
      </c>
      <c r="C100" t="s">
        <v>13</v>
      </c>
      <c r="D100" t="s">
        <v>39</v>
      </c>
      <c r="E100">
        <v>10</v>
      </c>
      <c r="F100">
        <v>16880</v>
      </c>
      <c r="G100">
        <v>12997</v>
      </c>
    </row>
    <row r="101" spans="1:7" x14ac:dyDescent="0.25">
      <c r="A101" t="s">
        <v>85</v>
      </c>
      <c r="B101" t="s">
        <v>30</v>
      </c>
      <c r="C101" t="s">
        <v>25</v>
      </c>
      <c r="D101" t="s">
        <v>10</v>
      </c>
      <c r="E101">
        <v>16</v>
      </c>
      <c r="F101">
        <v>20208</v>
      </c>
      <c r="G101">
        <v>10912</v>
      </c>
    </row>
    <row r="102" spans="1:7" x14ac:dyDescent="0.25">
      <c r="A102" t="s">
        <v>95</v>
      </c>
      <c r="B102" t="s">
        <v>12</v>
      </c>
      <c r="C102" t="s">
        <v>25</v>
      </c>
      <c r="D102" t="s">
        <v>10</v>
      </c>
      <c r="E102">
        <v>9</v>
      </c>
      <c r="F102">
        <v>8415</v>
      </c>
      <c r="G102">
        <v>5722</v>
      </c>
    </row>
    <row r="103" spans="1:7" x14ac:dyDescent="0.25">
      <c r="A103" t="s">
        <v>96</v>
      </c>
      <c r="B103" t="s">
        <v>8</v>
      </c>
      <c r="C103" t="s">
        <v>9</v>
      </c>
      <c r="D103" t="s">
        <v>10</v>
      </c>
      <c r="E103">
        <v>19</v>
      </c>
      <c r="F103">
        <v>26638</v>
      </c>
      <c r="G103">
        <v>15982</v>
      </c>
    </row>
    <row r="104" spans="1:7" x14ac:dyDescent="0.25">
      <c r="A104" t="s">
        <v>97</v>
      </c>
      <c r="B104" t="s">
        <v>12</v>
      </c>
      <c r="C104" t="s">
        <v>16</v>
      </c>
      <c r="D104" t="s">
        <v>39</v>
      </c>
      <c r="E104">
        <v>5</v>
      </c>
      <c r="F104">
        <v>5955</v>
      </c>
      <c r="G104">
        <v>3096</v>
      </c>
    </row>
    <row r="105" spans="1:7" x14ac:dyDescent="0.25">
      <c r="A105" t="s">
        <v>98</v>
      </c>
      <c r="B105" t="s">
        <v>8</v>
      </c>
      <c r="C105" t="s">
        <v>25</v>
      </c>
      <c r="D105" t="s">
        <v>18</v>
      </c>
      <c r="E105">
        <v>11</v>
      </c>
      <c r="F105">
        <v>14091</v>
      </c>
      <c r="G105">
        <v>10427</v>
      </c>
    </row>
    <row r="106" spans="1:7" x14ac:dyDescent="0.25">
      <c r="A106" t="s">
        <v>76</v>
      </c>
      <c r="B106" t="s">
        <v>8</v>
      </c>
      <c r="C106" t="s">
        <v>13</v>
      </c>
      <c r="D106" t="s">
        <v>39</v>
      </c>
      <c r="E106">
        <v>16</v>
      </c>
      <c r="F106">
        <v>9808</v>
      </c>
      <c r="G106">
        <v>5884</v>
      </c>
    </row>
    <row r="107" spans="1:7" x14ac:dyDescent="0.25">
      <c r="A107" t="s">
        <v>80</v>
      </c>
      <c r="B107" t="s">
        <v>20</v>
      </c>
      <c r="C107" t="s">
        <v>9</v>
      </c>
      <c r="D107" t="s">
        <v>33</v>
      </c>
      <c r="E107">
        <v>16</v>
      </c>
      <c r="F107">
        <v>20432</v>
      </c>
      <c r="G107">
        <v>16141</v>
      </c>
    </row>
    <row r="108" spans="1:7" x14ac:dyDescent="0.25">
      <c r="A108" t="s">
        <v>24</v>
      </c>
      <c r="B108" t="s">
        <v>30</v>
      </c>
      <c r="C108" t="s">
        <v>25</v>
      </c>
      <c r="D108" t="s">
        <v>39</v>
      </c>
      <c r="E108">
        <v>20</v>
      </c>
      <c r="F108">
        <v>29600</v>
      </c>
      <c r="G108">
        <v>16280</v>
      </c>
    </row>
    <row r="109" spans="1:7" x14ac:dyDescent="0.25">
      <c r="A109" t="s">
        <v>99</v>
      </c>
      <c r="B109" t="s">
        <v>30</v>
      </c>
      <c r="C109" t="s">
        <v>25</v>
      </c>
      <c r="D109" t="s">
        <v>18</v>
      </c>
      <c r="E109">
        <v>2</v>
      </c>
      <c r="F109">
        <v>3756</v>
      </c>
      <c r="G109">
        <v>2028</v>
      </c>
    </row>
    <row r="110" spans="1:7" x14ac:dyDescent="0.25">
      <c r="A110" t="s">
        <v>59</v>
      </c>
      <c r="B110" t="s">
        <v>12</v>
      </c>
      <c r="C110" t="s">
        <v>16</v>
      </c>
      <c r="D110" t="s">
        <v>14</v>
      </c>
      <c r="E110">
        <v>14</v>
      </c>
      <c r="F110">
        <v>11970</v>
      </c>
      <c r="G110">
        <v>8139</v>
      </c>
    </row>
    <row r="111" spans="1:7" x14ac:dyDescent="0.25">
      <c r="A111" t="s">
        <v>100</v>
      </c>
      <c r="B111" t="s">
        <v>8</v>
      </c>
      <c r="C111" t="s">
        <v>16</v>
      </c>
      <c r="D111" t="s">
        <v>22</v>
      </c>
      <c r="E111">
        <v>5</v>
      </c>
      <c r="F111">
        <v>3870</v>
      </c>
      <c r="G111">
        <v>2438</v>
      </c>
    </row>
    <row r="112" spans="1:7" x14ac:dyDescent="0.25">
      <c r="A112" t="s">
        <v>101</v>
      </c>
      <c r="B112" t="s">
        <v>8</v>
      </c>
      <c r="C112" t="s">
        <v>16</v>
      </c>
      <c r="D112" t="s">
        <v>39</v>
      </c>
      <c r="E112">
        <v>14</v>
      </c>
      <c r="F112">
        <v>10906</v>
      </c>
      <c r="G112">
        <v>5889</v>
      </c>
    </row>
    <row r="113" spans="1:7" x14ac:dyDescent="0.25">
      <c r="A113" t="s">
        <v>102</v>
      </c>
      <c r="B113" t="s">
        <v>20</v>
      </c>
      <c r="C113" t="s">
        <v>13</v>
      </c>
      <c r="D113" t="s">
        <v>22</v>
      </c>
      <c r="E113">
        <v>6</v>
      </c>
      <c r="F113">
        <v>7440</v>
      </c>
      <c r="G113">
        <v>5877</v>
      </c>
    </row>
    <row r="114" spans="1:7" x14ac:dyDescent="0.25">
      <c r="A114" t="s">
        <v>103</v>
      </c>
      <c r="B114" t="s">
        <v>30</v>
      </c>
      <c r="C114" t="s">
        <v>25</v>
      </c>
      <c r="D114" t="s">
        <v>33</v>
      </c>
      <c r="E114">
        <v>14</v>
      </c>
      <c r="F114">
        <v>15512</v>
      </c>
      <c r="G114">
        <v>9927</v>
      </c>
    </row>
    <row r="115" spans="1:7" x14ac:dyDescent="0.25">
      <c r="A115" t="s">
        <v>104</v>
      </c>
      <c r="B115" t="s">
        <v>30</v>
      </c>
      <c r="C115" t="s">
        <v>16</v>
      </c>
      <c r="D115" t="s">
        <v>22</v>
      </c>
      <c r="E115">
        <v>7</v>
      </c>
      <c r="F115">
        <v>6853</v>
      </c>
      <c r="G115">
        <v>5482</v>
      </c>
    </row>
    <row r="116" spans="1:7" x14ac:dyDescent="0.25">
      <c r="A116" t="s">
        <v>105</v>
      </c>
      <c r="B116" t="s">
        <v>8</v>
      </c>
      <c r="C116" t="s">
        <v>25</v>
      </c>
      <c r="D116" t="s">
        <v>39</v>
      </c>
      <c r="E116">
        <v>11</v>
      </c>
      <c r="F116">
        <v>7942</v>
      </c>
      <c r="G116">
        <v>3971</v>
      </c>
    </row>
    <row r="117" spans="1:7" x14ac:dyDescent="0.25">
      <c r="A117" t="s">
        <v>106</v>
      </c>
      <c r="B117" t="s">
        <v>20</v>
      </c>
      <c r="C117" t="s">
        <v>16</v>
      </c>
      <c r="D117" t="s">
        <v>10</v>
      </c>
      <c r="E117">
        <v>1</v>
      </c>
      <c r="F117">
        <v>1798</v>
      </c>
      <c r="G117">
        <v>1240</v>
      </c>
    </row>
    <row r="118" spans="1:7" x14ac:dyDescent="0.25">
      <c r="A118" t="s">
        <v>107</v>
      </c>
      <c r="B118" t="s">
        <v>20</v>
      </c>
      <c r="C118" t="s">
        <v>13</v>
      </c>
      <c r="D118" t="s">
        <v>22</v>
      </c>
      <c r="E118">
        <v>1</v>
      </c>
      <c r="F118">
        <v>1766</v>
      </c>
      <c r="G118">
        <v>1377</v>
      </c>
    </row>
    <row r="119" spans="1:7" x14ac:dyDescent="0.25">
      <c r="A119" t="s">
        <v>108</v>
      </c>
      <c r="B119" t="s">
        <v>30</v>
      </c>
      <c r="C119" t="s">
        <v>16</v>
      </c>
      <c r="D119" t="s">
        <v>39</v>
      </c>
      <c r="E119">
        <v>7</v>
      </c>
      <c r="F119">
        <v>11060</v>
      </c>
      <c r="G119">
        <v>5751</v>
      </c>
    </row>
    <row r="120" spans="1:7" x14ac:dyDescent="0.25">
      <c r="A120" t="s">
        <v>109</v>
      </c>
      <c r="B120" t="s">
        <v>8</v>
      </c>
      <c r="C120" t="s">
        <v>25</v>
      </c>
      <c r="D120" t="s">
        <v>39</v>
      </c>
      <c r="E120">
        <v>17</v>
      </c>
      <c r="F120">
        <v>9197</v>
      </c>
      <c r="G120">
        <v>6437</v>
      </c>
    </row>
    <row r="121" spans="1:7" x14ac:dyDescent="0.25">
      <c r="A121" t="s">
        <v>110</v>
      </c>
      <c r="B121" t="s">
        <v>30</v>
      </c>
      <c r="C121" t="s">
        <v>16</v>
      </c>
      <c r="D121" t="s">
        <v>10</v>
      </c>
      <c r="E121">
        <v>16</v>
      </c>
      <c r="F121">
        <v>29200</v>
      </c>
      <c r="G121">
        <v>19564</v>
      </c>
    </row>
    <row r="122" spans="1:7" x14ac:dyDescent="0.25">
      <c r="A122" t="s">
        <v>105</v>
      </c>
      <c r="B122" t="s">
        <v>30</v>
      </c>
      <c r="C122" t="s">
        <v>13</v>
      </c>
      <c r="D122" t="s">
        <v>10</v>
      </c>
      <c r="E122">
        <v>3</v>
      </c>
      <c r="F122">
        <v>2052</v>
      </c>
      <c r="G122">
        <v>1539</v>
      </c>
    </row>
    <row r="123" spans="1:7" x14ac:dyDescent="0.25">
      <c r="A123" t="s">
        <v>53</v>
      </c>
      <c r="B123" t="s">
        <v>20</v>
      </c>
      <c r="C123" t="s">
        <v>9</v>
      </c>
      <c r="D123" t="s">
        <v>14</v>
      </c>
      <c r="E123">
        <v>1</v>
      </c>
      <c r="F123">
        <v>525</v>
      </c>
      <c r="G123">
        <v>420</v>
      </c>
    </row>
    <row r="124" spans="1:7" x14ac:dyDescent="0.25">
      <c r="A124" t="s">
        <v>99</v>
      </c>
      <c r="B124" t="s">
        <v>20</v>
      </c>
      <c r="C124" t="s">
        <v>25</v>
      </c>
      <c r="D124" t="s">
        <v>33</v>
      </c>
      <c r="E124">
        <v>3</v>
      </c>
      <c r="F124">
        <v>4134</v>
      </c>
      <c r="G124">
        <v>2480</v>
      </c>
    </row>
    <row r="125" spans="1:7" x14ac:dyDescent="0.25">
      <c r="A125" t="s">
        <v>40</v>
      </c>
      <c r="B125" t="s">
        <v>30</v>
      </c>
      <c r="C125" t="s">
        <v>16</v>
      </c>
      <c r="D125" t="s">
        <v>10</v>
      </c>
      <c r="E125">
        <v>6</v>
      </c>
      <c r="F125">
        <v>10350</v>
      </c>
      <c r="G125">
        <v>6520</v>
      </c>
    </row>
    <row r="126" spans="1:7" x14ac:dyDescent="0.25">
      <c r="A126" t="s">
        <v>85</v>
      </c>
      <c r="B126" t="s">
        <v>8</v>
      </c>
      <c r="C126" t="s">
        <v>16</v>
      </c>
      <c r="D126" t="s">
        <v>10</v>
      </c>
      <c r="E126">
        <v>11</v>
      </c>
      <c r="F126">
        <v>17270</v>
      </c>
      <c r="G126">
        <v>8980</v>
      </c>
    </row>
    <row r="127" spans="1:7" x14ac:dyDescent="0.25">
      <c r="A127" t="s">
        <v>48</v>
      </c>
      <c r="B127" t="s">
        <v>30</v>
      </c>
      <c r="C127" t="s">
        <v>25</v>
      </c>
      <c r="D127" t="s">
        <v>33</v>
      </c>
      <c r="E127">
        <v>5</v>
      </c>
      <c r="F127">
        <v>8010</v>
      </c>
      <c r="G127">
        <v>6247</v>
      </c>
    </row>
    <row r="128" spans="1:7" x14ac:dyDescent="0.25">
      <c r="A128" t="s">
        <v>91</v>
      </c>
      <c r="B128" t="s">
        <v>12</v>
      </c>
      <c r="C128" t="s">
        <v>13</v>
      </c>
      <c r="D128" t="s">
        <v>14</v>
      </c>
      <c r="E128">
        <v>18</v>
      </c>
      <c r="F128">
        <v>25128</v>
      </c>
      <c r="G128">
        <v>16835</v>
      </c>
    </row>
    <row r="129" spans="1:7" x14ac:dyDescent="0.25">
      <c r="A129" t="s">
        <v>26</v>
      </c>
      <c r="B129" t="s">
        <v>30</v>
      </c>
      <c r="C129" t="s">
        <v>25</v>
      </c>
      <c r="D129" t="s">
        <v>10</v>
      </c>
      <c r="E129">
        <v>10</v>
      </c>
      <c r="F129">
        <v>15990</v>
      </c>
      <c r="G129">
        <v>11193</v>
      </c>
    </row>
    <row r="130" spans="1:7" x14ac:dyDescent="0.25">
      <c r="A130" t="s">
        <v>75</v>
      </c>
      <c r="B130" t="s">
        <v>20</v>
      </c>
      <c r="C130" t="s">
        <v>9</v>
      </c>
      <c r="D130" t="s">
        <v>39</v>
      </c>
      <c r="E130">
        <v>20</v>
      </c>
      <c r="F130">
        <v>25860</v>
      </c>
      <c r="G130">
        <v>19653</v>
      </c>
    </row>
    <row r="131" spans="1:7" x14ac:dyDescent="0.25">
      <c r="A131" t="s">
        <v>70</v>
      </c>
      <c r="B131" t="s">
        <v>30</v>
      </c>
      <c r="C131" t="s">
        <v>16</v>
      </c>
      <c r="D131" t="s">
        <v>10</v>
      </c>
      <c r="E131">
        <v>5</v>
      </c>
      <c r="F131">
        <v>2895</v>
      </c>
      <c r="G131">
        <v>1765</v>
      </c>
    </row>
    <row r="132" spans="1:7" x14ac:dyDescent="0.25">
      <c r="A132" t="s">
        <v>111</v>
      </c>
      <c r="B132" t="s">
        <v>30</v>
      </c>
      <c r="C132" t="s">
        <v>9</v>
      </c>
      <c r="D132" t="s">
        <v>14</v>
      </c>
      <c r="E132">
        <v>14</v>
      </c>
      <c r="F132">
        <v>20384</v>
      </c>
      <c r="G132">
        <v>15899</v>
      </c>
    </row>
    <row r="133" spans="1:7" x14ac:dyDescent="0.25">
      <c r="A133" t="s">
        <v>112</v>
      </c>
      <c r="B133" t="s">
        <v>12</v>
      </c>
      <c r="C133" t="s">
        <v>16</v>
      </c>
      <c r="D133" t="s">
        <v>14</v>
      </c>
      <c r="E133">
        <v>11</v>
      </c>
      <c r="F133">
        <v>14476</v>
      </c>
      <c r="G133">
        <v>9988</v>
      </c>
    </row>
    <row r="134" spans="1:7" x14ac:dyDescent="0.25">
      <c r="A134" t="s">
        <v>41</v>
      </c>
      <c r="B134" t="s">
        <v>30</v>
      </c>
      <c r="C134" t="s">
        <v>13</v>
      </c>
      <c r="D134" t="s">
        <v>14</v>
      </c>
      <c r="E134">
        <v>11</v>
      </c>
      <c r="F134">
        <v>19921</v>
      </c>
      <c r="G134">
        <v>10159</v>
      </c>
    </row>
    <row r="135" spans="1:7" x14ac:dyDescent="0.25">
      <c r="A135" t="s">
        <v>61</v>
      </c>
      <c r="B135" t="s">
        <v>8</v>
      </c>
      <c r="C135" t="s">
        <v>16</v>
      </c>
      <c r="D135" t="s">
        <v>33</v>
      </c>
      <c r="E135">
        <v>19</v>
      </c>
      <c r="F135">
        <v>27436</v>
      </c>
      <c r="G135">
        <v>21948</v>
      </c>
    </row>
    <row r="136" spans="1:7" x14ac:dyDescent="0.25">
      <c r="A136" t="s">
        <v>40</v>
      </c>
      <c r="B136" t="s">
        <v>20</v>
      </c>
      <c r="C136" t="s">
        <v>13</v>
      </c>
      <c r="D136" t="s">
        <v>10</v>
      </c>
      <c r="E136">
        <v>13</v>
      </c>
      <c r="F136">
        <v>15756</v>
      </c>
      <c r="G136">
        <v>8823</v>
      </c>
    </row>
    <row r="137" spans="1:7" x14ac:dyDescent="0.25">
      <c r="A137" t="s">
        <v>85</v>
      </c>
      <c r="B137" t="s">
        <v>12</v>
      </c>
      <c r="C137" t="s">
        <v>9</v>
      </c>
      <c r="D137" t="s">
        <v>33</v>
      </c>
      <c r="E137">
        <v>13</v>
      </c>
      <c r="F137">
        <v>15223</v>
      </c>
      <c r="G137">
        <v>9742</v>
      </c>
    </row>
    <row r="138" spans="1:7" x14ac:dyDescent="0.25">
      <c r="A138" t="s">
        <v>100</v>
      </c>
      <c r="B138" t="s">
        <v>30</v>
      </c>
      <c r="C138" t="s">
        <v>16</v>
      </c>
      <c r="D138" t="s">
        <v>33</v>
      </c>
      <c r="E138">
        <v>5</v>
      </c>
      <c r="F138">
        <v>9520</v>
      </c>
      <c r="G138">
        <v>5807</v>
      </c>
    </row>
    <row r="139" spans="1:7" x14ac:dyDescent="0.25">
      <c r="A139" t="s">
        <v>113</v>
      </c>
      <c r="B139" t="s">
        <v>20</v>
      </c>
      <c r="C139" t="s">
        <v>25</v>
      </c>
      <c r="D139" t="s">
        <v>14</v>
      </c>
      <c r="E139">
        <v>8</v>
      </c>
      <c r="F139">
        <v>12616</v>
      </c>
      <c r="G139">
        <v>6560</v>
      </c>
    </row>
    <row r="140" spans="1:7" x14ac:dyDescent="0.25">
      <c r="A140" t="s">
        <v>114</v>
      </c>
      <c r="B140" t="s">
        <v>12</v>
      </c>
      <c r="C140" t="s">
        <v>9</v>
      </c>
      <c r="D140" t="s">
        <v>14</v>
      </c>
      <c r="E140">
        <v>2</v>
      </c>
      <c r="F140">
        <v>3694</v>
      </c>
      <c r="G140">
        <v>2179</v>
      </c>
    </row>
    <row r="141" spans="1:7" x14ac:dyDescent="0.25">
      <c r="A141" t="s">
        <v>90</v>
      </c>
      <c r="B141" t="s">
        <v>12</v>
      </c>
      <c r="C141" t="s">
        <v>9</v>
      </c>
      <c r="D141" t="s">
        <v>10</v>
      </c>
      <c r="E141">
        <v>1</v>
      </c>
      <c r="F141">
        <v>618</v>
      </c>
      <c r="G141">
        <v>364</v>
      </c>
    </row>
    <row r="142" spans="1:7" x14ac:dyDescent="0.25">
      <c r="A142" t="s">
        <v>62</v>
      </c>
      <c r="B142" t="s">
        <v>30</v>
      </c>
      <c r="C142" t="s">
        <v>25</v>
      </c>
      <c r="D142" t="s">
        <v>14</v>
      </c>
      <c r="E142">
        <v>6</v>
      </c>
      <c r="F142">
        <v>8874</v>
      </c>
      <c r="G142">
        <v>6123</v>
      </c>
    </row>
    <row r="143" spans="1:7" x14ac:dyDescent="0.25">
      <c r="A143" t="s">
        <v>44</v>
      </c>
      <c r="B143" t="s">
        <v>8</v>
      </c>
      <c r="C143" t="s">
        <v>13</v>
      </c>
      <c r="D143" t="s">
        <v>18</v>
      </c>
      <c r="E143">
        <v>9</v>
      </c>
      <c r="F143">
        <v>7101</v>
      </c>
      <c r="G143">
        <v>4899</v>
      </c>
    </row>
    <row r="144" spans="1:7" x14ac:dyDescent="0.25">
      <c r="A144" t="s">
        <v>115</v>
      </c>
      <c r="B144" t="s">
        <v>12</v>
      </c>
      <c r="C144" t="s">
        <v>13</v>
      </c>
      <c r="D144" t="s">
        <v>39</v>
      </c>
      <c r="E144">
        <v>2</v>
      </c>
      <c r="F144">
        <v>3976</v>
      </c>
      <c r="G144">
        <v>3141</v>
      </c>
    </row>
    <row r="145" spans="1:7" x14ac:dyDescent="0.25">
      <c r="A145" t="s">
        <v>116</v>
      </c>
      <c r="B145" t="s">
        <v>20</v>
      </c>
      <c r="C145" t="s">
        <v>16</v>
      </c>
      <c r="D145" t="s">
        <v>39</v>
      </c>
      <c r="E145">
        <v>15</v>
      </c>
      <c r="F145">
        <v>23190</v>
      </c>
      <c r="G145">
        <v>16464</v>
      </c>
    </row>
    <row r="146" spans="1:7" x14ac:dyDescent="0.25">
      <c r="A146" t="s">
        <v>97</v>
      </c>
      <c r="B146" t="s">
        <v>8</v>
      </c>
      <c r="C146" t="s">
        <v>25</v>
      </c>
      <c r="D146" t="s">
        <v>22</v>
      </c>
      <c r="E146">
        <v>12</v>
      </c>
      <c r="F146">
        <v>13788</v>
      </c>
      <c r="G146">
        <v>9237</v>
      </c>
    </row>
    <row r="147" spans="1:7" x14ac:dyDescent="0.25">
      <c r="A147" t="s">
        <v>42</v>
      </c>
      <c r="B147" t="s">
        <v>12</v>
      </c>
      <c r="C147" t="s">
        <v>13</v>
      </c>
      <c r="D147" t="s">
        <v>22</v>
      </c>
      <c r="E147">
        <v>20</v>
      </c>
      <c r="F147">
        <v>30820</v>
      </c>
      <c r="G147">
        <v>16642</v>
      </c>
    </row>
    <row r="148" spans="1:7" x14ac:dyDescent="0.25">
      <c r="A148" t="s">
        <v>82</v>
      </c>
      <c r="B148" t="s">
        <v>30</v>
      </c>
      <c r="C148" t="s">
        <v>9</v>
      </c>
      <c r="D148" t="s">
        <v>33</v>
      </c>
      <c r="E148">
        <v>7</v>
      </c>
      <c r="F148">
        <v>13699</v>
      </c>
      <c r="G148">
        <v>7123</v>
      </c>
    </row>
    <row r="149" spans="1:7" x14ac:dyDescent="0.25">
      <c r="A149" t="s">
        <v>117</v>
      </c>
      <c r="B149" t="s">
        <v>12</v>
      </c>
      <c r="C149" t="s">
        <v>16</v>
      </c>
      <c r="D149" t="s">
        <v>18</v>
      </c>
      <c r="E149">
        <v>13</v>
      </c>
      <c r="F149">
        <v>17927</v>
      </c>
      <c r="G149">
        <v>12548</v>
      </c>
    </row>
    <row r="150" spans="1:7" x14ac:dyDescent="0.25">
      <c r="A150" t="s">
        <v>108</v>
      </c>
      <c r="B150" t="s">
        <v>12</v>
      </c>
      <c r="C150" t="s">
        <v>25</v>
      </c>
      <c r="D150" t="s">
        <v>10</v>
      </c>
      <c r="E150">
        <v>3</v>
      </c>
      <c r="F150">
        <v>5940</v>
      </c>
      <c r="G150">
        <v>4336</v>
      </c>
    </row>
    <row r="151" spans="1:7" x14ac:dyDescent="0.25">
      <c r="A151" t="s">
        <v>110</v>
      </c>
      <c r="B151" t="s">
        <v>12</v>
      </c>
      <c r="C151" t="s">
        <v>25</v>
      </c>
      <c r="D151" t="s">
        <v>18</v>
      </c>
      <c r="E151">
        <v>13</v>
      </c>
      <c r="F151">
        <v>7319</v>
      </c>
      <c r="G151">
        <v>4245</v>
      </c>
    </row>
    <row r="152" spans="1:7" x14ac:dyDescent="0.25">
      <c r="A152" t="s">
        <v>82</v>
      </c>
      <c r="B152" t="s">
        <v>12</v>
      </c>
      <c r="C152" t="s">
        <v>25</v>
      </c>
      <c r="D152" t="s">
        <v>22</v>
      </c>
      <c r="E152">
        <v>1</v>
      </c>
      <c r="F152">
        <v>503</v>
      </c>
      <c r="G152">
        <v>251</v>
      </c>
    </row>
    <row r="153" spans="1:7" x14ac:dyDescent="0.25">
      <c r="A153" t="s">
        <v>96</v>
      </c>
      <c r="B153" t="s">
        <v>8</v>
      </c>
      <c r="C153" t="s">
        <v>13</v>
      </c>
      <c r="D153" t="s">
        <v>14</v>
      </c>
      <c r="E153">
        <v>20</v>
      </c>
      <c r="F153">
        <v>16260</v>
      </c>
      <c r="G153">
        <v>11219</v>
      </c>
    </row>
    <row r="154" spans="1:7" x14ac:dyDescent="0.25">
      <c r="A154" t="s">
        <v>118</v>
      </c>
      <c r="B154" t="s">
        <v>20</v>
      </c>
      <c r="C154" t="s">
        <v>16</v>
      </c>
      <c r="D154" t="s">
        <v>22</v>
      </c>
      <c r="E154">
        <v>19</v>
      </c>
      <c r="F154">
        <v>26600</v>
      </c>
      <c r="G154">
        <v>16758</v>
      </c>
    </row>
    <row r="155" spans="1:7" x14ac:dyDescent="0.25">
      <c r="A155" t="s">
        <v>62</v>
      </c>
      <c r="B155" t="s">
        <v>8</v>
      </c>
      <c r="C155" t="s">
        <v>13</v>
      </c>
      <c r="D155" t="s">
        <v>39</v>
      </c>
      <c r="E155">
        <v>13</v>
      </c>
      <c r="F155">
        <v>20449</v>
      </c>
      <c r="G155">
        <v>14314</v>
      </c>
    </row>
    <row r="156" spans="1:7" x14ac:dyDescent="0.25">
      <c r="A156" t="s">
        <v>119</v>
      </c>
      <c r="B156" t="s">
        <v>8</v>
      </c>
      <c r="C156" t="s">
        <v>16</v>
      </c>
      <c r="D156" t="s">
        <v>33</v>
      </c>
      <c r="E156">
        <v>20</v>
      </c>
      <c r="F156">
        <v>19800</v>
      </c>
      <c r="G156">
        <v>9900</v>
      </c>
    </row>
    <row r="157" spans="1:7" x14ac:dyDescent="0.25">
      <c r="A157" t="s">
        <v>17</v>
      </c>
      <c r="B157" t="s">
        <v>20</v>
      </c>
      <c r="C157" t="s">
        <v>9</v>
      </c>
      <c r="D157" t="s">
        <v>14</v>
      </c>
      <c r="E157">
        <v>20</v>
      </c>
      <c r="F157">
        <v>39060</v>
      </c>
      <c r="G157">
        <v>28904</v>
      </c>
    </row>
    <row r="158" spans="1:7" x14ac:dyDescent="0.25">
      <c r="A158" t="s">
        <v>60</v>
      </c>
      <c r="B158" t="s">
        <v>8</v>
      </c>
      <c r="C158" t="s">
        <v>16</v>
      </c>
      <c r="D158" t="s">
        <v>22</v>
      </c>
      <c r="E158">
        <v>10</v>
      </c>
      <c r="F158">
        <v>19800</v>
      </c>
      <c r="G158">
        <v>12276</v>
      </c>
    </row>
    <row r="159" spans="1:7" x14ac:dyDescent="0.25">
      <c r="A159" t="s">
        <v>65</v>
      </c>
      <c r="B159" t="s">
        <v>12</v>
      </c>
      <c r="C159" t="s">
        <v>9</v>
      </c>
      <c r="D159" t="s">
        <v>10</v>
      </c>
      <c r="E159">
        <v>11</v>
      </c>
      <c r="F159">
        <v>12309</v>
      </c>
      <c r="G159">
        <v>6154</v>
      </c>
    </row>
    <row r="160" spans="1:7" x14ac:dyDescent="0.25">
      <c r="A160" t="s">
        <v>108</v>
      </c>
      <c r="B160" t="s">
        <v>20</v>
      </c>
      <c r="C160" t="s">
        <v>16</v>
      </c>
      <c r="D160" t="s">
        <v>14</v>
      </c>
      <c r="E160">
        <v>5</v>
      </c>
      <c r="F160">
        <v>7595</v>
      </c>
      <c r="G160">
        <v>4481</v>
      </c>
    </row>
    <row r="161" spans="1:7" x14ac:dyDescent="0.25">
      <c r="A161" t="s">
        <v>120</v>
      </c>
      <c r="B161" t="s">
        <v>8</v>
      </c>
      <c r="C161" t="s">
        <v>25</v>
      </c>
      <c r="D161" t="s">
        <v>33</v>
      </c>
      <c r="E161">
        <v>3</v>
      </c>
      <c r="F161">
        <v>2811</v>
      </c>
      <c r="G161">
        <v>1686</v>
      </c>
    </row>
    <row r="162" spans="1:7" x14ac:dyDescent="0.25">
      <c r="A162" t="s">
        <v>87</v>
      </c>
      <c r="B162" t="s">
        <v>8</v>
      </c>
      <c r="C162" t="s">
        <v>25</v>
      </c>
      <c r="D162" t="s">
        <v>10</v>
      </c>
      <c r="E162">
        <v>20</v>
      </c>
      <c r="F162">
        <v>39100</v>
      </c>
      <c r="G162">
        <v>26979</v>
      </c>
    </row>
    <row r="163" spans="1:7" x14ac:dyDescent="0.25">
      <c r="A163" t="s">
        <v>92</v>
      </c>
      <c r="B163" t="s">
        <v>20</v>
      </c>
      <c r="C163" t="s">
        <v>16</v>
      </c>
      <c r="D163" t="s">
        <v>10</v>
      </c>
      <c r="E163">
        <v>8</v>
      </c>
      <c r="F163">
        <v>11304</v>
      </c>
      <c r="G163">
        <v>8251</v>
      </c>
    </row>
    <row r="164" spans="1:7" x14ac:dyDescent="0.25">
      <c r="A164" t="s">
        <v>121</v>
      </c>
      <c r="B164" t="s">
        <v>30</v>
      </c>
      <c r="C164" t="s">
        <v>9</v>
      </c>
      <c r="D164" t="s">
        <v>22</v>
      </c>
      <c r="E164">
        <v>4</v>
      </c>
      <c r="F164">
        <v>3916</v>
      </c>
      <c r="G164">
        <v>2349</v>
      </c>
    </row>
    <row r="165" spans="1:7" x14ac:dyDescent="0.25">
      <c r="A165" t="s">
        <v>98</v>
      </c>
      <c r="B165" t="s">
        <v>8</v>
      </c>
      <c r="C165" t="s">
        <v>9</v>
      </c>
      <c r="D165" t="s">
        <v>22</v>
      </c>
      <c r="E165">
        <v>17</v>
      </c>
      <c r="F165">
        <v>9299</v>
      </c>
      <c r="G165">
        <v>6602</v>
      </c>
    </row>
    <row r="166" spans="1:7" x14ac:dyDescent="0.25">
      <c r="A166" t="s">
        <v>42</v>
      </c>
      <c r="B166" t="s">
        <v>8</v>
      </c>
      <c r="C166" t="s">
        <v>9</v>
      </c>
      <c r="D166" t="s">
        <v>22</v>
      </c>
      <c r="E166">
        <v>11</v>
      </c>
      <c r="F166">
        <v>13288</v>
      </c>
      <c r="G166">
        <v>8504</v>
      </c>
    </row>
    <row r="167" spans="1:7" x14ac:dyDescent="0.25">
      <c r="A167" t="s">
        <v>100</v>
      </c>
      <c r="B167" t="s">
        <v>30</v>
      </c>
      <c r="C167" t="s">
        <v>25</v>
      </c>
      <c r="D167" t="s">
        <v>18</v>
      </c>
      <c r="E167">
        <v>14</v>
      </c>
      <c r="F167">
        <v>13118</v>
      </c>
      <c r="G167">
        <v>6690</v>
      </c>
    </row>
    <row r="168" spans="1:7" x14ac:dyDescent="0.25">
      <c r="A168" t="s">
        <v>122</v>
      </c>
      <c r="B168" t="s">
        <v>12</v>
      </c>
      <c r="C168" t="s">
        <v>25</v>
      </c>
      <c r="D168" t="s">
        <v>33</v>
      </c>
      <c r="E168">
        <v>12</v>
      </c>
      <c r="F168">
        <v>19752</v>
      </c>
      <c r="G168">
        <v>11061</v>
      </c>
    </row>
    <row r="169" spans="1:7" x14ac:dyDescent="0.25">
      <c r="A169" t="s">
        <v>123</v>
      </c>
      <c r="B169" t="s">
        <v>12</v>
      </c>
      <c r="C169" t="s">
        <v>13</v>
      </c>
      <c r="D169" t="s">
        <v>14</v>
      </c>
      <c r="E169">
        <v>17</v>
      </c>
      <c r="F169">
        <v>28662</v>
      </c>
      <c r="G169">
        <v>19490</v>
      </c>
    </row>
    <row r="170" spans="1:7" x14ac:dyDescent="0.25">
      <c r="A170" t="s">
        <v>56</v>
      </c>
      <c r="B170" t="s">
        <v>30</v>
      </c>
      <c r="C170" t="s">
        <v>25</v>
      </c>
      <c r="D170" t="s">
        <v>14</v>
      </c>
      <c r="E170">
        <v>14</v>
      </c>
      <c r="F170">
        <v>17416</v>
      </c>
      <c r="G170">
        <v>11146</v>
      </c>
    </row>
    <row r="171" spans="1:7" x14ac:dyDescent="0.25">
      <c r="A171" t="s">
        <v>124</v>
      </c>
      <c r="B171" t="s">
        <v>8</v>
      </c>
      <c r="C171" t="s">
        <v>13</v>
      </c>
      <c r="D171" t="s">
        <v>18</v>
      </c>
      <c r="E171">
        <v>20</v>
      </c>
      <c r="F171">
        <v>37860</v>
      </c>
      <c r="G171">
        <v>30288</v>
      </c>
    </row>
    <row r="172" spans="1:7" x14ac:dyDescent="0.25">
      <c r="A172" t="s">
        <v>58</v>
      </c>
      <c r="B172" t="s">
        <v>12</v>
      </c>
      <c r="C172" t="s">
        <v>16</v>
      </c>
      <c r="D172" t="s">
        <v>33</v>
      </c>
      <c r="E172">
        <v>5</v>
      </c>
      <c r="F172">
        <v>8920</v>
      </c>
      <c r="G172">
        <v>4549</v>
      </c>
    </row>
    <row r="173" spans="1:7" x14ac:dyDescent="0.25">
      <c r="A173" t="s">
        <v>11</v>
      </c>
      <c r="B173" t="s">
        <v>30</v>
      </c>
      <c r="C173" t="s">
        <v>13</v>
      </c>
      <c r="D173" t="s">
        <v>18</v>
      </c>
      <c r="E173">
        <v>18</v>
      </c>
      <c r="F173">
        <v>19926</v>
      </c>
      <c r="G173">
        <v>15343</v>
      </c>
    </row>
    <row r="174" spans="1:7" x14ac:dyDescent="0.25">
      <c r="A174" t="s">
        <v>67</v>
      </c>
      <c r="B174" t="s">
        <v>8</v>
      </c>
      <c r="C174" t="s">
        <v>16</v>
      </c>
      <c r="D174" t="s">
        <v>39</v>
      </c>
      <c r="E174">
        <v>5</v>
      </c>
      <c r="F174">
        <v>4030</v>
      </c>
      <c r="G174">
        <v>2780</v>
      </c>
    </row>
    <row r="175" spans="1:7" x14ac:dyDescent="0.25">
      <c r="A175" t="s">
        <v>109</v>
      </c>
      <c r="B175" t="s">
        <v>20</v>
      </c>
      <c r="C175" t="s">
        <v>13</v>
      </c>
      <c r="D175" t="s">
        <v>22</v>
      </c>
      <c r="E175">
        <v>6</v>
      </c>
      <c r="F175">
        <v>4362</v>
      </c>
      <c r="G175">
        <v>2791</v>
      </c>
    </row>
    <row r="176" spans="1:7" x14ac:dyDescent="0.25">
      <c r="A176" t="s">
        <v>58</v>
      </c>
      <c r="B176" t="s">
        <v>20</v>
      </c>
      <c r="C176" t="s">
        <v>25</v>
      </c>
      <c r="D176" t="s">
        <v>18</v>
      </c>
      <c r="E176">
        <v>1</v>
      </c>
      <c r="F176">
        <v>1102</v>
      </c>
      <c r="G176">
        <v>848</v>
      </c>
    </row>
    <row r="177" spans="1:7" x14ac:dyDescent="0.25">
      <c r="A177" t="s">
        <v>125</v>
      </c>
      <c r="B177" t="s">
        <v>8</v>
      </c>
      <c r="C177" t="s">
        <v>25</v>
      </c>
      <c r="D177" t="s">
        <v>18</v>
      </c>
      <c r="E177">
        <v>6</v>
      </c>
      <c r="F177">
        <v>5700</v>
      </c>
      <c r="G177">
        <v>3591</v>
      </c>
    </row>
    <row r="178" spans="1:7" x14ac:dyDescent="0.25">
      <c r="A178" t="s">
        <v>126</v>
      </c>
      <c r="B178" t="s">
        <v>30</v>
      </c>
      <c r="C178" t="s">
        <v>25</v>
      </c>
      <c r="D178" t="s">
        <v>39</v>
      </c>
      <c r="E178">
        <v>12</v>
      </c>
      <c r="F178">
        <v>20052</v>
      </c>
      <c r="G178">
        <v>11028</v>
      </c>
    </row>
    <row r="179" spans="1:7" x14ac:dyDescent="0.25">
      <c r="A179" t="s">
        <v>127</v>
      </c>
      <c r="B179" t="s">
        <v>20</v>
      </c>
      <c r="C179" t="s">
        <v>13</v>
      </c>
      <c r="D179" t="s">
        <v>10</v>
      </c>
      <c r="E179">
        <v>10</v>
      </c>
      <c r="F179">
        <v>15070</v>
      </c>
      <c r="G179">
        <v>8891</v>
      </c>
    </row>
    <row r="180" spans="1:7" x14ac:dyDescent="0.25">
      <c r="A180" t="s">
        <v>128</v>
      </c>
      <c r="B180" t="s">
        <v>12</v>
      </c>
      <c r="C180" t="s">
        <v>16</v>
      </c>
      <c r="D180" t="s">
        <v>14</v>
      </c>
      <c r="E180">
        <v>17</v>
      </c>
      <c r="F180">
        <v>29342</v>
      </c>
      <c r="G180">
        <v>17898</v>
      </c>
    </row>
    <row r="181" spans="1:7" x14ac:dyDescent="0.25">
      <c r="A181" t="s">
        <v>53</v>
      </c>
      <c r="B181" t="s">
        <v>12</v>
      </c>
      <c r="C181" t="s">
        <v>16</v>
      </c>
      <c r="D181" t="s">
        <v>33</v>
      </c>
      <c r="E181">
        <v>18</v>
      </c>
      <c r="F181">
        <v>20772</v>
      </c>
      <c r="G181">
        <v>11840</v>
      </c>
    </row>
    <row r="182" spans="1:7" x14ac:dyDescent="0.25">
      <c r="A182" t="s">
        <v>48</v>
      </c>
      <c r="B182" t="s">
        <v>12</v>
      </c>
      <c r="C182" t="s">
        <v>16</v>
      </c>
      <c r="D182" t="s">
        <v>39</v>
      </c>
      <c r="E182">
        <v>17</v>
      </c>
      <c r="F182">
        <v>19975</v>
      </c>
      <c r="G182">
        <v>10786</v>
      </c>
    </row>
    <row r="183" spans="1:7" x14ac:dyDescent="0.25">
      <c r="A183" t="s">
        <v>129</v>
      </c>
      <c r="B183" t="s">
        <v>8</v>
      </c>
      <c r="C183" t="s">
        <v>9</v>
      </c>
      <c r="D183" t="s">
        <v>18</v>
      </c>
      <c r="E183">
        <v>20</v>
      </c>
      <c r="F183">
        <v>33380</v>
      </c>
      <c r="G183">
        <v>25368</v>
      </c>
    </row>
    <row r="184" spans="1:7" x14ac:dyDescent="0.25">
      <c r="A184" t="s">
        <v>40</v>
      </c>
      <c r="B184" t="s">
        <v>30</v>
      </c>
      <c r="C184" t="s">
        <v>9</v>
      </c>
      <c r="D184" t="s">
        <v>18</v>
      </c>
      <c r="E184">
        <v>10</v>
      </c>
      <c r="F184">
        <v>13000</v>
      </c>
      <c r="G184">
        <v>10010</v>
      </c>
    </row>
    <row r="185" spans="1:7" x14ac:dyDescent="0.25">
      <c r="A185" t="s">
        <v>23</v>
      </c>
      <c r="B185" t="s">
        <v>8</v>
      </c>
      <c r="C185" t="s">
        <v>9</v>
      </c>
      <c r="D185" t="s">
        <v>33</v>
      </c>
      <c r="E185">
        <v>19</v>
      </c>
      <c r="F185">
        <v>25479</v>
      </c>
      <c r="G185">
        <v>16306</v>
      </c>
    </row>
    <row r="186" spans="1:7" x14ac:dyDescent="0.25">
      <c r="A186" t="s">
        <v>61</v>
      </c>
      <c r="B186" t="s">
        <v>12</v>
      </c>
      <c r="C186" t="s">
        <v>9</v>
      </c>
      <c r="D186" t="s">
        <v>33</v>
      </c>
      <c r="E186">
        <v>18</v>
      </c>
      <c r="F186">
        <v>21582</v>
      </c>
      <c r="G186">
        <v>16186</v>
      </c>
    </row>
    <row r="187" spans="1:7" x14ac:dyDescent="0.25">
      <c r="A187" t="s">
        <v>130</v>
      </c>
      <c r="B187" t="s">
        <v>30</v>
      </c>
      <c r="C187" t="s">
        <v>25</v>
      </c>
      <c r="D187" t="s">
        <v>14</v>
      </c>
      <c r="E187">
        <v>7</v>
      </c>
      <c r="F187">
        <v>7917</v>
      </c>
      <c r="G187">
        <v>5462</v>
      </c>
    </row>
    <row r="188" spans="1:7" x14ac:dyDescent="0.25">
      <c r="A188" t="s">
        <v>100</v>
      </c>
      <c r="B188" t="s">
        <v>8</v>
      </c>
      <c r="C188" t="s">
        <v>25</v>
      </c>
      <c r="D188" t="s">
        <v>33</v>
      </c>
      <c r="E188">
        <v>1</v>
      </c>
      <c r="F188">
        <v>1297</v>
      </c>
      <c r="G188">
        <v>778</v>
      </c>
    </row>
    <row r="189" spans="1:7" x14ac:dyDescent="0.25">
      <c r="A189" t="s">
        <v>131</v>
      </c>
      <c r="B189" t="s">
        <v>12</v>
      </c>
      <c r="C189" t="s">
        <v>9</v>
      </c>
      <c r="D189" t="s">
        <v>10</v>
      </c>
      <c r="E189">
        <v>15</v>
      </c>
      <c r="F189">
        <v>21285</v>
      </c>
      <c r="G189">
        <v>11706</v>
      </c>
    </row>
    <row r="190" spans="1:7" x14ac:dyDescent="0.25">
      <c r="A190" t="s">
        <v>132</v>
      </c>
      <c r="B190" t="s">
        <v>12</v>
      </c>
      <c r="C190" t="s">
        <v>13</v>
      </c>
      <c r="D190" t="s">
        <v>22</v>
      </c>
      <c r="E190">
        <v>5</v>
      </c>
      <c r="F190">
        <v>2915</v>
      </c>
      <c r="G190">
        <v>1836</v>
      </c>
    </row>
    <row r="191" spans="1:7" x14ac:dyDescent="0.25">
      <c r="A191" t="s">
        <v>97</v>
      </c>
      <c r="B191" t="s">
        <v>8</v>
      </c>
      <c r="C191" t="s">
        <v>25</v>
      </c>
      <c r="D191" t="s">
        <v>39</v>
      </c>
      <c r="E191">
        <v>6</v>
      </c>
      <c r="F191">
        <v>3246</v>
      </c>
      <c r="G191">
        <v>1752</v>
      </c>
    </row>
    <row r="192" spans="1:7" x14ac:dyDescent="0.25">
      <c r="A192" t="s">
        <v>89</v>
      </c>
      <c r="B192" t="s">
        <v>20</v>
      </c>
      <c r="C192" t="s">
        <v>13</v>
      </c>
      <c r="D192" t="s">
        <v>14</v>
      </c>
      <c r="E192">
        <v>18</v>
      </c>
      <c r="F192">
        <v>11862</v>
      </c>
      <c r="G192">
        <v>9370</v>
      </c>
    </row>
    <row r="193" spans="1:7" x14ac:dyDescent="0.25">
      <c r="A193" t="s">
        <v>109</v>
      </c>
      <c r="B193" t="s">
        <v>8</v>
      </c>
      <c r="C193" t="s">
        <v>25</v>
      </c>
      <c r="D193" t="s">
        <v>33</v>
      </c>
      <c r="E193">
        <v>18</v>
      </c>
      <c r="F193">
        <v>18162</v>
      </c>
      <c r="G193">
        <v>14166</v>
      </c>
    </row>
    <row r="194" spans="1:7" x14ac:dyDescent="0.25">
      <c r="A194" t="s">
        <v>133</v>
      </c>
      <c r="B194" t="s">
        <v>8</v>
      </c>
      <c r="C194" t="s">
        <v>9</v>
      </c>
      <c r="D194" t="s">
        <v>18</v>
      </c>
      <c r="E194">
        <v>7</v>
      </c>
      <c r="F194">
        <v>10885</v>
      </c>
      <c r="G194">
        <v>7946</v>
      </c>
    </row>
    <row r="195" spans="1:7" x14ac:dyDescent="0.25">
      <c r="A195" t="s">
        <v>134</v>
      </c>
      <c r="B195" t="s">
        <v>12</v>
      </c>
      <c r="C195" t="s">
        <v>9</v>
      </c>
      <c r="D195" t="s">
        <v>10</v>
      </c>
      <c r="E195">
        <v>6</v>
      </c>
      <c r="F195">
        <v>8316</v>
      </c>
      <c r="G195">
        <v>4989</v>
      </c>
    </row>
    <row r="196" spans="1:7" x14ac:dyDescent="0.25">
      <c r="A196" t="s">
        <v>135</v>
      </c>
      <c r="B196" t="s">
        <v>8</v>
      </c>
      <c r="C196" t="s">
        <v>25</v>
      </c>
      <c r="D196" t="s">
        <v>10</v>
      </c>
      <c r="E196">
        <v>4</v>
      </c>
      <c r="F196">
        <v>7700</v>
      </c>
      <c r="G196">
        <v>4851</v>
      </c>
    </row>
    <row r="197" spans="1:7" x14ac:dyDescent="0.25">
      <c r="A197" t="s">
        <v>120</v>
      </c>
      <c r="B197" t="s">
        <v>30</v>
      </c>
      <c r="C197" t="s">
        <v>25</v>
      </c>
      <c r="D197" t="s">
        <v>14</v>
      </c>
      <c r="E197">
        <v>18</v>
      </c>
      <c r="F197">
        <v>29700</v>
      </c>
      <c r="G197">
        <v>21681</v>
      </c>
    </row>
    <row r="198" spans="1:7" x14ac:dyDescent="0.25">
      <c r="A198" t="s">
        <v>136</v>
      </c>
      <c r="B198" t="s">
        <v>30</v>
      </c>
      <c r="C198" t="s">
        <v>13</v>
      </c>
      <c r="D198" t="s">
        <v>39</v>
      </c>
      <c r="E198">
        <v>16</v>
      </c>
      <c r="F198">
        <v>10240</v>
      </c>
      <c r="G198">
        <v>5836</v>
      </c>
    </row>
    <row r="199" spans="1:7" x14ac:dyDescent="0.25">
      <c r="A199" t="s">
        <v>56</v>
      </c>
      <c r="B199" t="s">
        <v>8</v>
      </c>
      <c r="C199" t="s">
        <v>13</v>
      </c>
      <c r="D199" t="s">
        <v>10</v>
      </c>
      <c r="E199">
        <v>2</v>
      </c>
      <c r="F199">
        <v>3562</v>
      </c>
      <c r="G199">
        <v>2564</v>
      </c>
    </row>
    <row r="200" spans="1:7" x14ac:dyDescent="0.25">
      <c r="A200" t="s">
        <v>43</v>
      </c>
      <c r="B200" t="s">
        <v>20</v>
      </c>
      <c r="C200" t="s">
        <v>16</v>
      </c>
      <c r="D200" t="s">
        <v>10</v>
      </c>
      <c r="E200">
        <v>14</v>
      </c>
      <c r="F200">
        <v>23464</v>
      </c>
      <c r="G200">
        <v>13374</v>
      </c>
    </row>
    <row r="201" spans="1:7" x14ac:dyDescent="0.25">
      <c r="A201" t="s">
        <v>137</v>
      </c>
      <c r="B201" t="s">
        <v>20</v>
      </c>
      <c r="C201" t="s">
        <v>9</v>
      </c>
      <c r="D201" t="s">
        <v>18</v>
      </c>
      <c r="E201">
        <v>4</v>
      </c>
      <c r="F201">
        <v>7988</v>
      </c>
      <c r="G201">
        <v>5272</v>
      </c>
    </row>
    <row r="202" spans="1:7" x14ac:dyDescent="0.25">
      <c r="A202" t="s">
        <v>127</v>
      </c>
      <c r="B202" t="s">
        <v>8</v>
      </c>
      <c r="C202" t="s">
        <v>13</v>
      </c>
      <c r="D202" t="s">
        <v>33</v>
      </c>
      <c r="E202">
        <v>16</v>
      </c>
      <c r="F202">
        <v>30832</v>
      </c>
      <c r="G202">
        <v>22507</v>
      </c>
    </row>
    <row r="203" spans="1:7" x14ac:dyDescent="0.25">
      <c r="A203" t="s">
        <v>105</v>
      </c>
      <c r="B203" t="s">
        <v>30</v>
      </c>
      <c r="C203" t="s">
        <v>13</v>
      </c>
      <c r="D203" t="s">
        <v>39</v>
      </c>
      <c r="E203">
        <v>20</v>
      </c>
      <c r="F203">
        <v>29540</v>
      </c>
      <c r="G203">
        <v>22450</v>
      </c>
    </row>
    <row r="204" spans="1:7" x14ac:dyDescent="0.25">
      <c r="A204" t="s">
        <v>110</v>
      </c>
      <c r="B204" t="s">
        <v>20</v>
      </c>
      <c r="C204" t="s">
        <v>9</v>
      </c>
      <c r="D204" t="s">
        <v>14</v>
      </c>
      <c r="E204">
        <v>1</v>
      </c>
      <c r="F204">
        <v>1191</v>
      </c>
      <c r="G204">
        <v>762</v>
      </c>
    </row>
    <row r="205" spans="1:7" x14ac:dyDescent="0.25">
      <c r="A205" t="s">
        <v>69</v>
      </c>
      <c r="B205" t="s">
        <v>30</v>
      </c>
      <c r="C205" t="s">
        <v>25</v>
      </c>
      <c r="D205" t="s">
        <v>39</v>
      </c>
      <c r="E205">
        <v>9</v>
      </c>
      <c r="F205">
        <v>6030</v>
      </c>
      <c r="G205">
        <v>3859</v>
      </c>
    </row>
    <row r="206" spans="1:7" x14ac:dyDescent="0.25">
      <c r="A206" t="s">
        <v>59</v>
      </c>
      <c r="B206" t="s">
        <v>12</v>
      </c>
      <c r="C206" t="s">
        <v>16</v>
      </c>
      <c r="D206" t="s">
        <v>39</v>
      </c>
      <c r="E206">
        <v>9</v>
      </c>
      <c r="F206">
        <v>17325</v>
      </c>
      <c r="G206">
        <v>9182</v>
      </c>
    </row>
    <row r="207" spans="1:7" x14ac:dyDescent="0.25">
      <c r="A207" t="s">
        <v>17</v>
      </c>
      <c r="B207" t="s">
        <v>12</v>
      </c>
      <c r="C207" t="s">
        <v>13</v>
      </c>
      <c r="D207" t="s">
        <v>22</v>
      </c>
      <c r="E207">
        <v>17</v>
      </c>
      <c r="F207">
        <v>30668</v>
      </c>
      <c r="G207">
        <v>20547</v>
      </c>
    </row>
    <row r="208" spans="1:7" x14ac:dyDescent="0.25">
      <c r="A208" t="s">
        <v>130</v>
      </c>
      <c r="B208" t="s">
        <v>12</v>
      </c>
      <c r="C208" t="s">
        <v>13</v>
      </c>
      <c r="D208" t="s">
        <v>18</v>
      </c>
      <c r="E208">
        <v>14</v>
      </c>
      <c r="F208">
        <v>22414</v>
      </c>
      <c r="G208">
        <v>17707</v>
      </c>
    </row>
    <row r="209" spans="1:7" x14ac:dyDescent="0.25">
      <c r="A209" t="s">
        <v>117</v>
      </c>
      <c r="B209" t="s">
        <v>20</v>
      </c>
      <c r="C209" t="s">
        <v>16</v>
      </c>
      <c r="D209" t="s">
        <v>22</v>
      </c>
      <c r="E209">
        <v>13</v>
      </c>
      <c r="F209">
        <v>20462</v>
      </c>
      <c r="G209">
        <v>13504</v>
      </c>
    </row>
    <row r="210" spans="1:7" x14ac:dyDescent="0.25">
      <c r="A210" t="s">
        <v>138</v>
      </c>
      <c r="B210" t="s">
        <v>12</v>
      </c>
      <c r="C210" t="s">
        <v>13</v>
      </c>
      <c r="D210" t="s">
        <v>14</v>
      </c>
      <c r="E210">
        <v>16</v>
      </c>
      <c r="F210">
        <v>20544</v>
      </c>
      <c r="G210">
        <v>14380</v>
      </c>
    </row>
    <row r="211" spans="1:7" x14ac:dyDescent="0.25">
      <c r="A211" t="s">
        <v>88</v>
      </c>
      <c r="B211" t="s">
        <v>30</v>
      </c>
      <c r="C211" t="s">
        <v>13</v>
      </c>
      <c r="D211" t="s">
        <v>18</v>
      </c>
      <c r="E211">
        <v>16</v>
      </c>
      <c r="F211">
        <v>21680</v>
      </c>
      <c r="G211">
        <v>14308</v>
      </c>
    </row>
    <row r="212" spans="1:7" x14ac:dyDescent="0.25">
      <c r="A212" t="s">
        <v>73</v>
      </c>
      <c r="B212" t="s">
        <v>8</v>
      </c>
      <c r="C212" t="s">
        <v>13</v>
      </c>
      <c r="D212" t="s">
        <v>22</v>
      </c>
      <c r="E212">
        <v>14</v>
      </c>
      <c r="F212">
        <v>24108</v>
      </c>
      <c r="G212">
        <v>15670</v>
      </c>
    </row>
    <row r="213" spans="1:7" x14ac:dyDescent="0.25">
      <c r="A213" t="s">
        <v>71</v>
      </c>
      <c r="B213" t="s">
        <v>12</v>
      </c>
      <c r="C213" t="s">
        <v>16</v>
      </c>
      <c r="D213" t="s">
        <v>10</v>
      </c>
      <c r="E213">
        <v>16</v>
      </c>
      <c r="F213">
        <v>19200</v>
      </c>
      <c r="G213">
        <v>11712</v>
      </c>
    </row>
    <row r="214" spans="1:7" x14ac:dyDescent="0.25">
      <c r="A214" t="s">
        <v>139</v>
      </c>
      <c r="B214" t="s">
        <v>8</v>
      </c>
      <c r="C214" t="s">
        <v>16</v>
      </c>
      <c r="D214" t="s">
        <v>10</v>
      </c>
      <c r="E214">
        <v>13</v>
      </c>
      <c r="F214">
        <v>16861</v>
      </c>
      <c r="G214">
        <v>12814</v>
      </c>
    </row>
    <row r="215" spans="1:7" x14ac:dyDescent="0.25">
      <c r="A215" t="s">
        <v>140</v>
      </c>
      <c r="B215" t="s">
        <v>8</v>
      </c>
      <c r="C215" t="s">
        <v>13</v>
      </c>
      <c r="D215" t="s">
        <v>22</v>
      </c>
      <c r="E215">
        <v>14</v>
      </c>
      <c r="F215">
        <v>14546</v>
      </c>
      <c r="G215">
        <v>8145</v>
      </c>
    </row>
    <row r="216" spans="1:7" x14ac:dyDescent="0.25">
      <c r="A216" t="s">
        <v>141</v>
      </c>
      <c r="B216" t="s">
        <v>8</v>
      </c>
      <c r="C216" t="s">
        <v>25</v>
      </c>
      <c r="D216" t="s">
        <v>39</v>
      </c>
      <c r="E216">
        <v>11</v>
      </c>
      <c r="F216">
        <v>19778</v>
      </c>
      <c r="G216">
        <v>14833</v>
      </c>
    </row>
    <row r="217" spans="1:7" x14ac:dyDescent="0.25">
      <c r="A217" t="s">
        <v>142</v>
      </c>
      <c r="B217" t="s">
        <v>8</v>
      </c>
      <c r="C217" t="s">
        <v>25</v>
      </c>
      <c r="D217" t="s">
        <v>39</v>
      </c>
      <c r="E217">
        <v>20</v>
      </c>
      <c r="F217">
        <v>23180</v>
      </c>
      <c r="G217">
        <v>15994</v>
      </c>
    </row>
    <row r="218" spans="1:7" x14ac:dyDescent="0.25">
      <c r="A218" t="s">
        <v>143</v>
      </c>
      <c r="B218" t="s">
        <v>20</v>
      </c>
      <c r="C218" t="s">
        <v>25</v>
      </c>
      <c r="D218" t="s">
        <v>10</v>
      </c>
      <c r="E218">
        <v>18</v>
      </c>
      <c r="F218">
        <v>14724</v>
      </c>
      <c r="G218">
        <v>11779</v>
      </c>
    </row>
    <row r="219" spans="1:7" x14ac:dyDescent="0.25">
      <c r="A219" t="s">
        <v>37</v>
      </c>
      <c r="B219" t="s">
        <v>20</v>
      </c>
      <c r="C219" t="s">
        <v>9</v>
      </c>
      <c r="D219" t="s">
        <v>10</v>
      </c>
      <c r="E219">
        <v>14</v>
      </c>
      <c r="F219">
        <v>16030</v>
      </c>
      <c r="G219">
        <v>8175</v>
      </c>
    </row>
    <row r="220" spans="1:7" x14ac:dyDescent="0.25">
      <c r="A220" t="s">
        <v>91</v>
      </c>
      <c r="B220" t="s">
        <v>12</v>
      </c>
      <c r="C220" t="s">
        <v>13</v>
      </c>
      <c r="D220" t="s">
        <v>18</v>
      </c>
      <c r="E220">
        <v>13</v>
      </c>
      <c r="F220">
        <v>23426</v>
      </c>
      <c r="G220">
        <v>12650</v>
      </c>
    </row>
    <row r="221" spans="1:7" x14ac:dyDescent="0.25">
      <c r="A221" t="s">
        <v>144</v>
      </c>
      <c r="B221" t="s">
        <v>8</v>
      </c>
      <c r="C221" t="s">
        <v>13</v>
      </c>
      <c r="D221" t="s">
        <v>18</v>
      </c>
      <c r="E221">
        <v>7</v>
      </c>
      <c r="F221">
        <v>5292</v>
      </c>
      <c r="G221">
        <v>3916</v>
      </c>
    </row>
    <row r="222" spans="1:7" x14ac:dyDescent="0.25">
      <c r="A222" t="s">
        <v>145</v>
      </c>
      <c r="B222" t="s">
        <v>20</v>
      </c>
      <c r="C222" t="s">
        <v>9</v>
      </c>
      <c r="D222" t="s">
        <v>18</v>
      </c>
      <c r="E222">
        <v>6</v>
      </c>
      <c r="F222">
        <v>6444</v>
      </c>
      <c r="G222">
        <v>3995</v>
      </c>
    </row>
    <row r="223" spans="1:7" x14ac:dyDescent="0.25">
      <c r="A223" t="s">
        <v>54</v>
      </c>
      <c r="B223" t="s">
        <v>20</v>
      </c>
      <c r="C223" t="s">
        <v>9</v>
      </c>
      <c r="D223" t="s">
        <v>14</v>
      </c>
      <c r="E223">
        <v>7</v>
      </c>
      <c r="F223">
        <v>9723</v>
      </c>
      <c r="G223">
        <v>5542</v>
      </c>
    </row>
    <row r="224" spans="1:7" x14ac:dyDescent="0.25">
      <c r="A224" t="s">
        <v>110</v>
      </c>
      <c r="B224" t="s">
        <v>12</v>
      </c>
      <c r="C224" t="s">
        <v>9</v>
      </c>
      <c r="D224" t="s">
        <v>22</v>
      </c>
      <c r="E224">
        <v>13</v>
      </c>
      <c r="F224">
        <v>10426</v>
      </c>
      <c r="G224">
        <v>7506</v>
      </c>
    </row>
    <row r="225" spans="1:7" x14ac:dyDescent="0.25">
      <c r="A225" t="s">
        <v>63</v>
      </c>
      <c r="B225" t="s">
        <v>8</v>
      </c>
      <c r="C225" t="s">
        <v>9</v>
      </c>
      <c r="D225" t="s">
        <v>18</v>
      </c>
      <c r="E225">
        <v>12</v>
      </c>
      <c r="F225">
        <v>17220</v>
      </c>
      <c r="G225">
        <v>8782</v>
      </c>
    </row>
    <row r="226" spans="1:7" x14ac:dyDescent="0.25">
      <c r="A226" t="s">
        <v>146</v>
      </c>
      <c r="B226" t="s">
        <v>8</v>
      </c>
      <c r="C226" t="s">
        <v>9</v>
      </c>
      <c r="D226" t="s">
        <v>18</v>
      </c>
      <c r="E226">
        <v>6</v>
      </c>
      <c r="F226">
        <v>10122</v>
      </c>
      <c r="G226">
        <v>7591</v>
      </c>
    </row>
    <row r="227" spans="1:7" x14ac:dyDescent="0.25">
      <c r="A227" t="s">
        <v>57</v>
      </c>
      <c r="B227" t="s">
        <v>30</v>
      </c>
      <c r="C227" t="s">
        <v>13</v>
      </c>
      <c r="D227" t="s">
        <v>33</v>
      </c>
      <c r="E227">
        <v>2</v>
      </c>
      <c r="F227">
        <v>2780</v>
      </c>
      <c r="G227">
        <v>2112</v>
      </c>
    </row>
    <row r="228" spans="1:7" x14ac:dyDescent="0.25">
      <c r="A228" t="s">
        <v>94</v>
      </c>
      <c r="B228" t="s">
        <v>12</v>
      </c>
      <c r="C228" t="s">
        <v>25</v>
      </c>
      <c r="D228" t="s">
        <v>18</v>
      </c>
      <c r="E228">
        <v>11</v>
      </c>
      <c r="F228">
        <v>6545</v>
      </c>
      <c r="G228">
        <v>4057</v>
      </c>
    </row>
    <row r="229" spans="1:7" x14ac:dyDescent="0.25">
      <c r="A229" t="s">
        <v>53</v>
      </c>
      <c r="B229" t="s">
        <v>20</v>
      </c>
      <c r="C229" t="s">
        <v>9</v>
      </c>
      <c r="D229" t="s">
        <v>33</v>
      </c>
      <c r="E229">
        <v>6</v>
      </c>
      <c r="F229">
        <v>3516</v>
      </c>
      <c r="G229">
        <v>2250</v>
      </c>
    </row>
    <row r="230" spans="1:7" x14ac:dyDescent="0.25">
      <c r="A230" t="s">
        <v>131</v>
      </c>
      <c r="B230" t="s">
        <v>8</v>
      </c>
      <c r="C230" t="s">
        <v>9</v>
      </c>
      <c r="D230" t="s">
        <v>22</v>
      </c>
      <c r="E230">
        <v>13</v>
      </c>
      <c r="F230">
        <v>15132</v>
      </c>
      <c r="G230">
        <v>8927</v>
      </c>
    </row>
    <row r="231" spans="1:7" x14ac:dyDescent="0.25">
      <c r="A231" t="s">
        <v>147</v>
      </c>
      <c r="B231" t="s">
        <v>12</v>
      </c>
      <c r="C231" t="s">
        <v>16</v>
      </c>
      <c r="D231" t="s">
        <v>39</v>
      </c>
      <c r="E231">
        <v>2</v>
      </c>
      <c r="F231">
        <v>3124</v>
      </c>
      <c r="G231">
        <v>1905</v>
      </c>
    </row>
    <row r="232" spans="1:7" x14ac:dyDescent="0.25">
      <c r="A232" t="s">
        <v>61</v>
      </c>
      <c r="B232" t="s">
        <v>30</v>
      </c>
      <c r="C232" t="s">
        <v>9</v>
      </c>
      <c r="D232" t="s">
        <v>10</v>
      </c>
      <c r="E232">
        <v>9</v>
      </c>
      <c r="F232">
        <v>13878</v>
      </c>
      <c r="G232">
        <v>9714</v>
      </c>
    </row>
    <row r="233" spans="1:7" x14ac:dyDescent="0.25">
      <c r="A233" t="s">
        <v>148</v>
      </c>
      <c r="B233" t="s">
        <v>8</v>
      </c>
      <c r="C233" t="s">
        <v>13</v>
      </c>
      <c r="D233" t="s">
        <v>33</v>
      </c>
      <c r="E233">
        <v>10</v>
      </c>
      <c r="F233">
        <v>15170</v>
      </c>
      <c r="G233">
        <v>9253</v>
      </c>
    </row>
    <row r="234" spans="1:7" x14ac:dyDescent="0.25">
      <c r="A234" t="s">
        <v>95</v>
      </c>
      <c r="B234" t="s">
        <v>12</v>
      </c>
      <c r="C234" t="s">
        <v>13</v>
      </c>
      <c r="D234" t="s">
        <v>39</v>
      </c>
      <c r="E234">
        <v>20</v>
      </c>
      <c r="F234">
        <v>31020</v>
      </c>
      <c r="G234">
        <v>22024</v>
      </c>
    </row>
    <row r="235" spans="1:7" x14ac:dyDescent="0.25">
      <c r="A235" t="s">
        <v>141</v>
      </c>
      <c r="B235" t="s">
        <v>20</v>
      </c>
      <c r="C235" t="s">
        <v>25</v>
      </c>
      <c r="D235" t="s">
        <v>14</v>
      </c>
      <c r="E235">
        <v>1</v>
      </c>
      <c r="F235">
        <v>1168</v>
      </c>
      <c r="G235">
        <v>782</v>
      </c>
    </row>
    <row r="236" spans="1:7" x14ac:dyDescent="0.25">
      <c r="A236" t="s">
        <v>90</v>
      </c>
      <c r="B236" t="s">
        <v>8</v>
      </c>
      <c r="C236" t="s">
        <v>16</v>
      </c>
      <c r="D236" t="s">
        <v>10</v>
      </c>
      <c r="E236">
        <v>1</v>
      </c>
      <c r="F236">
        <v>1757</v>
      </c>
      <c r="G236">
        <v>1388</v>
      </c>
    </row>
    <row r="237" spans="1:7" x14ac:dyDescent="0.25">
      <c r="A237" t="s">
        <v>149</v>
      </c>
      <c r="B237" t="s">
        <v>12</v>
      </c>
      <c r="C237" t="s">
        <v>9</v>
      </c>
      <c r="D237" t="s">
        <v>33</v>
      </c>
      <c r="E237">
        <v>11</v>
      </c>
      <c r="F237">
        <v>8745</v>
      </c>
      <c r="G237">
        <v>4984</v>
      </c>
    </row>
    <row r="238" spans="1:7" x14ac:dyDescent="0.25">
      <c r="A238" t="s">
        <v>46</v>
      </c>
      <c r="B238" t="s">
        <v>30</v>
      </c>
      <c r="C238" t="s">
        <v>13</v>
      </c>
      <c r="D238" t="s">
        <v>14</v>
      </c>
      <c r="E238">
        <v>20</v>
      </c>
      <c r="F238">
        <v>25840</v>
      </c>
      <c r="G238">
        <v>19380</v>
      </c>
    </row>
    <row r="239" spans="1:7" x14ac:dyDescent="0.25">
      <c r="A239" t="s">
        <v>150</v>
      </c>
      <c r="B239" t="s">
        <v>20</v>
      </c>
      <c r="C239" t="s">
        <v>13</v>
      </c>
      <c r="D239" t="s">
        <v>14</v>
      </c>
      <c r="E239">
        <v>10</v>
      </c>
      <c r="F239">
        <v>6420</v>
      </c>
      <c r="G239">
        <v>3595</v>
      </c>
    </row>
    <row r="240" spans="1:7" x14ac:dyDescent="0.25">
      <c r="A240" t="s">
        <v>151</v>
      </c>
      <c r="B240" t="s">
        <v>12</v>
      </c>
      <c r="C240" t="s">
        <v>13</v>
      </c>
      <c r="D240" t="s">
        <v>14</v>
      </c>
      <c r="E240">
        <v>2</v>
      </c>
      <c r="F240">
        <v>1518</v>
      </c>
      <c r="G240">
        <v>956</v>
      </c>
    </row>
    <row r="241" spans="1:7" x14ac:dyDescent="0.25">
      <c r="A241" t="s">
        <v>144</v>
      </c>
      <c r="B241" t="s">
        <v>30</v>
      </c>
      <c r="C241" t="s">
        <v>16</v>
      </c>
      <c r="D241" t="s">
        <v>18</v>
      </c>
      <c r="E241">
        <v>18</v>
      </c>
      <c r="F241">
        <v>23274</v>
      </c>
      <c r="G241">
        <v>15360</v>
      </c>
    </row>
    <row r="242" spans="1:7" x14ac:dyDescent="0.25">
      <c r="A242" t="s">
        <v>106</v>
      </c>
      <c r="B242" t="s">
        <v>20</v>
      </c>
      <c r="C242" t="s">
        <v>16</v>
      </c>
      <c r="D242" t="s">
        <v>18</v>
      </c>
      <c r="E242">
        <v>1</v>
      </c>
      <c r="F242">
        <v>662</v>
      </c>
      <c r="G242">
        <v>483</v>
      </c>
    </row>
    <row r="243" spans="1:7" x14ac:dyDescent="0.25">
      <c r="A243" t="s">
        <v>93</v>
      </c>
      <c r="B243" t="s">
        <v>30</v>
      </c>
      <c r="C243" t="s">
        <v>9</v>
      </c>
      <c r="D243" t="s">
        <v>10</v>
      </c>
      <c r="E243">
        <v>4</v>
      </c>
      <c r="F243">
        <v>4000</v>
      </c>
      <c r="G243">
        <v>2960</v>
      </c>
    </row>
    <row r="244" spans="1:7" x14ac:dyDescent="0.25">
      <c r="A244" t="s">
        <v>43</v>
      </c>
      <c r="B244" t="s">
        <v>12</v>
      </c>
      <c r="C244" t="s">
        <v>16</v>
      </c>
      <c r="D244" t="s">
        <v>33</v>
      </c>
      <c r="E244">
        <v>5</v>
      </c>
      <c r="F244">
        <v>5655</v>
      </c>
      <c r="G244">
        <v>3336</v>
      </c>
    </row>
    <row r="245" spans="1:7" x14ac:dyDescent="0.25">
      <c r="A245" t="s">
        <v>38</v>
      </c>
      <c r="B245" t="s">
        <v>20</v>
      </c>
      <c r="C245" t="s">
        <v>25</v>
      </c>
      <c r="D245" t="s">
        <v>14</v>
      </c>
      <c r="E245">
        <v>7</v>
      </c>
      <c r="F245">
        <v>3689</v>
      </c>
      <c r="G245">
        <v>2951</v>
      </c>
    </row>
    <row r="246" spans="1:7" x14ac:dyDescent="0.25">
      <c r="A246" t="s">
        <v>106</v>
      </c>
      <c r="B246" t="s">
        <v>30</v>
      </c>
      <c r="C246" t="s">
        <v>9</v>
      </c>
      <c r="D246" t="s">
        <v>39</v>
      </c>
      <c r="E246">
        <v>6</v>
      </c>
      <c r="F246">
        <v>3918</v>
      </c>
      <c r="G246">
        <v>2311</v>
      </c>
    </row>
    <row r="247" spans="1:7" x14ac:dyDescent="0.25">
      <c r="A247" t="s">
        <v>152</v>
      </c>
      <c r="B247" t="s">
        <v>30</v>
      </c>
      <c r="C247" t="s">
        <v>25</v>
      </c>
      <c r="D247" t="s">
        <v>39</v>
      </c>
      <c r="E247">
        <v>17</v>
      </c>
      <c r="F247">
        <v>10574</v>
      </c>
      <c r="G247">
        <v>5498</v>
      </c>
    </row>
    <row r="248" spans="1:7" x14ac:dyDescent="0.25">
      <c r="A248" t="s">
        <v>125</v>
      </c>
      <c r="B248" t="s">
        <v>20</v>
      </c>
      <c r="C248" t="s">
        <v>13</v>
      </c>
      <c r="D248" t="s">
        <v>10</v>
      </c>
      <c r="E248">
        <v>4</v>
      </c>
      <c r="F248">
        <v>7104</v>
      </c>
      <c r="G248">
        <v>4830</v>
      </c>
    </row>
    <row r="249" spans="1:7" x14ac:dyDescent="0.25">
      <c r="A249" t="s">
        <v>124</v>
      </c>
      <c r="B249" t="s">
        <v>8</v>
      </c>
      <c r="C249" t="s">
        <v>9</v>
      </c>
      <c r="D249" t="s">
        <v>33</v>
      </c>
      <c r="E249">
        <v>5</v>
      </c>
      <c r="F249">
        <v>9565</v>
      </c>
      <c r="G249">
        <v>7078</v>
      </c>
    </row>
    <row r="250" spans="1:7" x14ac:dyDescent="0.25">
      <c r="A250" t="s">
        <v>109</v>
      </c>
      <c r="B250" t="s">
        <v>12</v>
      </c>
      <c r="C250" t="s">
        <v>9</v>
      </c>
      <c r="D250" t="s">
        <v>18</v>
      </c>
      <c r="E250">
        <v>10</v>
      </c>
      <c r="F250">
        <v>5360</v>
      </c>
      <c r="G250">
        <v>2787</v>
      </c>
    </row>
    <row r="251" spans="1:7" x14ac:dyDescent="0.25">
      <c r="A251" t="s">
        <v>130</v>
      </c>
      <c r="B251" t="s">
        <v>30</v>
      </c>
      <c r="C251" t="s">
        <v>13</v>
      </c>
      <c r="D251" t="s">
        <v>39</v>
      </c>
      <c r="E251">
        <v>10</v>
      </c>
      <c r="F251">
        <v>6450</v>
      </c>
      <c r="G251">
        <v>4515</v>
      </c>
    </row>
    <row r="252" spans="1:7" x14ac:dyDescent="0.25">
      <c r="A252" t="s">
        <v>149</v>
      </c>
      <c r="B252" t="s">
        <v>12</v>
      </c>
      <c r="C252" t="s">
        <v>16</v>
      </c>
      <c r="D252" t="s">
        <v>33</v>
      </c>
      <c r="E252">
        <v>17</v>
      </c>
      <c r="F252">
        <v>9129</v>
      </c>
      <c r="G252">
        <v>5568</v>
      </c>
    </row>
    <row r="253" spans="1:7" x14ac:dyDescent="0.25">
      <c r="A253" t="s">
        <v>140</v>
      </c>
      <c r="B253" t="s">
        <v>12</v>
      </c>
      <c r="C253" t="s">
        <v>25</v>
      </c>
      <c r="D253" t="s">
        <v>18</v>
      </c>
      <c r="E253">
        <v>18</v>
      </c>
      <c r="F253">
        <v>32742</v>
      </c>
      <c r="G253">
        <v>23574</v>
      </c>
    </row>
    <row r="254" spans="1:7" x14ac:dyDescent="0.25">
      <c r="A254" t="s">
        <v>50</v>
      </c>
      <c r="B254" t="s">
        <v>30</v>
      </c>
      <c r="C254" t="s">
        <v>9</v>
      </c>
      <c r="D254" t="s">
        <v>10</v>
      </c>
      <c r="E254">
        <v>17</v>
      </c>
      <c r="F254">
        <v>8602</v>
      </c>
      <c r="G254">
        <v>6881</v>
      </c>
    </row>
    <row r="255" spans="1:7" x14ac:dyDescent="0.25">
      <c r="A255" t="s">
        <v>153</v>
      </c>
      <c r="B255" t="s">
        <v>20</v>
      </c>
      <c r="C255" t="s">
        <v>9</v>
      </c>
      <c r="D255" t="s">
        <v>18</v>
      </c>
      <c r="E255">
        <v>9</v>
      </c>
      <c r="F255">
        <v>16488</v>
      </c>
      <c r="G255">
        <v>9068</v>
      </c>
    </row>
    <row r="256" spans="1:7" x14ac:dyDescent="0.25">
      <c r="A256" t="s">
        <v>90</v>
      </c>
      <c r="B256" t="s">
        <v>12</v>
      </c>
      <c r="C256" t="s">
        <v>16</v>
      </c>
      <c r="D256" t="s">
        <v>33</v>
      </c>
      <c r="E256">
        <v>9</v>
      </c>
      <c r="F256">
        <v>14850</v>
      </c>
      <c r="G256">
        <v>9949</v>
      </c>
    </row>
    <row r="257" spans="1:7" x14ac:dyDescent="0.25">
      <c r="A257" t="s">
        <v>53</v>
      </c>
      <c r="B257" t="s">
        <v>30</v>
      </c>
      <c r="C257" t="s">
        <v>9</v>
      </c>
      <c r="D257" t="s">
        <v>39</v>
      </c>
      <c r="E257">
        <v>11</v>
      </c>
      <c r="F257">
        <v>21285</v>
      </c>
      <c r="G257">
        <v>12345</v>
      </c>
    </row>
    <row r="258" spans="1:7" x14ac:dyDescent="0.25">
      <c r="A258" t="s">
        <v>132</v>
      </c>
      <c r="B258" t="s">
        <v>30</v>
      </c>
      <c r="C258" t="s">
        <v>9</v>
      </c>
      <c r="D258" t="s">
        <v>18</v>
      </c>
      <c r="E258">
        <v>19</v>
      </c>
      <c r="F258">
        <v>10735</v>
      </c>
      <c r="G258">
        <v>5367</v>
      </c>
    </row>
    <row r="259" spans="1:7" x14ac:dyDescent="0.25">
      <c r="A259" t="s">
        <v>154</v>
      </c>
      <c r="B259" t="s">
        <v>8</v>
      </c>
      <c r="C259" t="s">
        <v>16</v>
      </c>
      <c r="D259" t="s">
        <v>18</v>
      </c>
      <c r="E259">
        <v>7</v>
      </c>
      <c r="F259">
        <v>7980</v>
      </c>
      <c r="G259">
        <v>6144</v>
      </c>
    </row>
    <row r="260" spans="1:7" x14ac:dyDescent="0.25">
      <c r="A260" t="s">
        <v>21</v>
      </c>
      <c r="B260" t="s">
        <v>12</v>
      </c>
      <c r="C260" t="s">
        <v>25</v>
      </c>
      <c r="D260" t="s">
        <v>33</v>
      </c>
      <c r="E260">
        <v>3</v>
      </c>
      <c r="F260">
        <v>1593</v>
      </c>
      <c r="G260">
        <v>1067</v>
      </c>
    </row>
    <row r="261" spans="1:7" x14ac:dyDescent="0.25">
      <c r="A261" t="s">
        <v>82</v>
      </c>
      <c r="B261" t="s">
        <v>12</v>
      </c>
      <c r="C261" t="s">
        <v>16</v>
      </c>
      <c r="D261" t="s">
        <v>10</v>
      </c>
      <c r="E261">
        <v>15</v>
      </c>
      <c r="F261">
        <v>22170</v>
      </c>
      <c r="G261">
        <v>12415</v>
      </c>
    </row>
    <row r="262" spans="1:7" x14ac:dyDescent="0.25">
      <c r="A262" t="s">
        <v>109</v>
      </c>
      <c r="B262" t="s">
        <v>30</v>
      </c>
      <c r="C262" t="s">
        <v>9</v>
      </c>
      <c r="D262" t="s">
        <v>22</v>
      </c>
      <c r="E262">
        <v>6</v>
      </c>
      <c r="F262">
        <v>6174</v>
      </c>
      <c r="G262">
        <v>4013</v>
      </c>
    </row>
    <row r="263" spans="1:7" x14ac:dyDescent="0.25">
      <c r="A263" t="s">
        <v>155</v>
      </c>
      <c r="B263" t="s">
        <v>8</v>
      </c>
      <c r="C263" t="s">
        <v>25</v>
      </c>
      <c r="D263" t="s">
        <v>14</v>
      </c>
      <c r="E263">
        <v>10</v>
      </c>
      <c r="F263">
        <v>13060</v>
      </c>
      <c r="G263">
        <v>9925</v>
      </c>
    </row>
    <row r="264" spans="1:7" x14ac:dyDescent="0.25">
      <c r="A264" t="s">
        <v>156</v>
      </c>
      <c r="B264" t="s">
        <v>30</v>
      </c>
      <c r="C264" t="s">
        <v>9</v>
      </c>
      <c r="D264" t="s">
        <v>10</v>
      </c>
      <c r="E264">
        <v>8</v>
      </c>
      <c r="F264">
        <v>10664</v>
      </c>
      <c r="G264">
        <v>7144</v>
      </c>
    </row>
    <row r="265" spans="1:7" x14ac:dyDescent="0.25">
      <c r="A265" t="s">
        <v>52</v>
      </c>
      <c r="B265" t="s">
        <v>30</v>
      </c>
      <c r="C265" t="s">
        <v>13</v>
      </c>
      <c r="D265" t="s">
        <v>39</v>
      </c>
      <c r="E265">
        <v>7</v>
      </c>
      <c r="F265">
        <v>13979</v>
      </c>
      <c r="G265">
        <v>10344</v>
      </c>
    </row>
    <row r="266" spans="1:7" x14ac:dyDescent="0.25">
      <c r="A266" t="s">
        <v>157</v>
      </c>
      <c r="B266" t="s">
        <v>30</v>
      </c>
      <c r="C266" t="s">
        <v>9</v>
      </c>
      <c r="D266" t="s">
        <v>14</v>
      </c>
      <c r="E266">
        <v>4</v>
      </c>
      <c r="F266">
        <v>6576</v>
      </c>
      <c r="G266">
        <v>4274</v>
      </c>
    </row>
    <row r="267" spans="1:7" x14ac:dyDescent="0.25">
      <c r="A267" t="s">
        <v>158</v>
      </c>
      <c r="B267" t="s">
        <v>20</v>
      </c>
      <c r="C267" t="s">
        <v>13</v>
      </c>
      <c r="D267" t="s">
        <v>18</v>
      </c>
      <c r="E267">
        <v>20</v>
      </c>
      <c r="F267">
        <v>25080</v>
      </c>
      <c r="G267">
        <v>15298</v>
      </c>
    </row>
    <row r="268" spans="1:7" x14ac:dyDescent="0.25">
      <c r="A268" t="s">
        <v>98</v>
      </c>
      <c r="B268" t="s">
        <v>12</v>
      </c>
      <c r="C268" t="s">
        <v>16</v>
      </c>
      <c r="D268" t="s">
        <v>18</v>
      </c>
      <c r="E268">
        <v>4</v>
      </c>
      <c r="F268">
        <v>3308</v>
      </c>
      <c r="G268">
        <v>2249</v>
      </c>
    </row>
    <row r="269" spans="1:7" x14ac:dyDescent="0.25">
      <c r="A269" t="s">
        <v>159</v>
      </c>
      <c r="B269" t="s">
        <v>30</v>
      </c>
      <c r="C269" t="s">
        <v>9</v>
      </c>
      <c r="D269" t="s">
        <v>39</v>
      </c>
      <c r="E269">
        <v>15</v>
      </c>
      <c r="F269">
        <v>23355</v>
      </c>
      <c r="G269">
        <v>15647</v>
      </c>
    </row>
    <row r="270" spans="1:7" x14ac:dyDescent="0.25">
      <c r="A270" t="s">
        <v>86</v>
      </c>
      <c r="B270" t="s">
        <v>8</v>
      </c>
      <c r="C270" t="s">
        <v>25</v>
      </c>
      <c r="D270" t="s">
        <v>33</v>
      </c>
      <c r="E270">
        <v>4</v>
      </c>
      <c r="F270">
        <v>6764</v>
      </c>
      <c r="G270">
        <v>4261</v>
      </c>
    </row>
    <row r="271" spans="1:7" x14ac:dyDescent="0.25">
      <c r="A271" t="s">
        <v>84</v>
      </c>
      <c r="B271" t="s">
        <v>20</v>
      </c>
      <c r="C271" t="s">
        <v>16</v>
      </c>
      <c r="D271" t="s">
        <v>14</v>
      </c>
      <c r="E271">
        <v>5</v>
      </c>
      <c r="F271">
        <v>7285</v>
      </c>
      <c r="G271">
        <v>4298</v>
      </c>
    </row>
    <row r="272" spans="1:7" x14ac:dyDescent="0.25">
      <c r="A272" t="s">
        <v>79</v>
      </c>
      <c r="B272" t="s">
        <v>20</v>
      </c>
      <c r="C272" t="s">
        <v>9</v>
      </c>
      <c r="D272" t="s">
        <v>14</v>
      </c>
      <c r="E272">
        <v>10</v>
      </c>
      <c r="F272">
        <v>13160</v>
      </c>
      <c r="G272">
        <v>7369</v>
      </c>
    </row>
    <row r="273" spans="1:7" x14ac:dyDescent="0.25">
      <c r="A273" t="s">
        <v>94</v>
      </c>
      <c r="B273" t="s">
        <v>30</v>
      </c>
      <c r="C273" t="s">
        <v>9</v>
      </c>
      <c r="D273" t="s">
        <v>14</v>
      </c>
      <c r="E273">
        <v>18</v>
      </c>
      <c r="F273">
        <v>17802</v>
      </c>
      <c r="G273">
        <v>14241</v>
      </c>
    </row>
    <row r="274" spans="1:7" x14ac:dyDescent="0.25">
      <c r="A274" t="s">
        <v>28</v>
      </c>
      <c r="B274" t="s">
        <v>8</v>
      </c>
      <c r="C274" t="s">
        <v>13</v>
      </c>
      <c r="D274" t="s">
        <v>14</v>
      </c>
      <c r="E274">
        <v>7</v>
      </c>
      <c r="F274">
        <v>4459</v>
      </c>
      <c r="G274">
        <v>3388</v>
      </c>
    </row>
    <row r="275" spans="1:7" x14ac:dyDescent="0.25">
      <c r="A275" t="s">
        <v>67</v>
      </c>
      <c r="B275" t="s">
        <v>20</v>
      </c>
      <c r="C275" t="s">
        <v>9</v>
      </c>
      <c r="D275" t="s">
        <v>33</v>
      </c>
      <c r="E275">
        <v>9</v>
      </c>
      <c r="F275">
        <v>14139</v>
      </c>
      <c r="G275">
        <v>9190</v>
      </c>
    </row>
    <row r="276" spans="1:7" x14ac:dyDescent="0.25">
      <c r="A276" t="s">
        <v>160</v>
      </c>
      <c r="B276" t="s">
        <v>12</v>
      </c>
      <c r="C276" t="s">
        <v>25</v>
      </c>
      <c r="D276" t="s">
        <v>22</v>
      </c>
      <c r="E276">
        <v>6</v>
      </c>
      <c r="F276">
        <v>5688</v>
      </c>
      <c r="G276">
        <v>3014</v>
      </c>
    </row>
    <row r="277" spans="1:7" x14ac:dyDescent="0.25">
      <c r="A277" t="s">
        <v>148</v>
      </c>
      <c r="B277" t="s">
        <v>8</v>
      </c>
      <c r="C277" t="s">
        <v>13</v>
      </c>
      <c r="D277" t="s">
        <v>39</v>
      </c>
      <c r="E277">
        <v>19</v>
      </c>
      <c r="F277">
        <v>33421</v>
      </c>
      <c r="G277">
        <v>19049</v>
      </c>
    </row>
    <row r="278" spans="1:7" x14ac:dyDescent="0.25">
      <c r="A278" t="s">
        <v>96</v>
      </c>
      <c r="B278" t="s">
        <v>8</v>
      </c>
      <c r="C278" t="s">
        <v>25</v>
      </c>
      <c r="D278" t="s">
        <v>14</v>
      </c>
      <c r="E278">
        <v>16</v>
      </c>
      <c r="F278">
        <v>28624</v>
      </c>
      <c r="G278">
        <v>22612</v>
      </c>
    </row>
    <row r="279" spans="1:7" x14ac:dyDescent="0.25">
      <c r="A279" t="s">
        <v>145</v>
      </c>
      <c r="B279" t="s">
        <v>12</v>
      </c>
      <c r="C279" t="s">
        <v>25</v>
      </c>
      <c r="D279" t="s">
        <v>39</v>
      </c>
      <c r="E279">
        <v>1</v>
      </c>
      <c r="F279">
        <v>1786</v>
      </c>
      <c r="G279">
        <v>1035</v>
      </c>
    </row>
    <row r="280" spans="1:7" x14ac:dyDescent="0.25">
      <c r="A280" t="s">
        <v>46</v>
      </c>
      <c r="B280" t="s">
        <v>8</v>
      </c>
      <c r="C280" t="s">
        <v>16</v>
      </c>
      <c r="D280" t="s">
        <v>10</v>
      </c>
      <c r="E280">
        <v>14</v>
      </c>
      <c r="F280">
        <v>18144</v>
      </c>
      <c r="G280">
        <v>12156</v>
      </c>
    </row>
    <row r="281" spans="1:7" x14ac:dyDescent="0.25">
      <c r="A281" t="s">
        <v>127</v>
      </c>
      <c r="B281" t="s">
        <v>12</v>
      </c>
      <c r="C281" t="s">
        <v>25</v>
      </c>
      <c r="D281" t="s">
        <v>22</v>
      </c>
      <c r="E281">
        <v>20</v>
      </c>
      <c r="F281">
        <v>38240</v>
      </c>
      <c r="G281">
        <v>24856</v>
      </c>
    </row>
    <row r="282" spans="1:7" x14ac:dyDescent="0.25">
      <c r="A282" t="s">
        <v>161</v>
      </c>
      <c r="B282" t="s">
        <v>30</v>
      </c>
      <c r="C282" t="s">
        <v>16</v>
      </c>
      <c r="D282" t="s">
        <v>33</v>
      </c>
      <c r="E282">
        <v>16</v>
      </c>
      <c r="F282">
        <v>16944</v>
      </c>
      <c r="G282">
        <v>10335</v>
      </c>
    </row>
    <row r="283" spans="1:7" x14ac:dyDescent="0.25">
      <c r="A283" t="s">
        <v>162</v>
      </c>
      <c r="B283" t="s">
        <v>8</v>
      </c>
      <c r="C283" t="s">
        <v>25</v>
      </c>
      <c r="D283" t="s">
        <v>39</v>
      </c>
      <c r="E283">
        <v>5</v>
      </c>
      <c r="F283">
        <v>9205</v>
      </c>
      <c r="G283">
        <v>5062</v>
      </c>
    </row>
    <row r="284" spans="1:7" x14ac:dyDescent="0.25">
      <c r="A284" t="s">
        <v>142</v>
      </c>
      <c r="B284" t="s">
        <v>20</v>
      </c>
      <c r="C284" t="s">
        <v>16</v>
      </c>
      <c r="D284" t="s">
        <v>22</v>
      </c>
      <c r="E284">
        <v>15</v>
      </c>
      <c r="F284">
        <v>23955</v>
      </c>
      <c r="G284">
        <v>13175</v>
      </c>
    </row>
    <row r="285" spans="1:7" x14ac:dyDescent="0.25">
      <c r="A285" t="s">
        <v>163</v>
      </c>
      <c r="B285" t="s">
        <v>20</v>
      </c>
      <c r="C285" t="s">
        <v>16</v>
      </c>
      <c r="D285" t="s">
        <v>14</v>
      </c>
      <c r="E285">
        <v>2</v>
      </c>
      <c r="F285">
        <v>3912</v>
      </c>
      <c r="G285">
        <v>2777</v>
      </c>
    </row>
    <row r="286" spans="1:7" x14ac:dyDescent="0.25">
      <c r="A286" t="s">
        <v>42</v>
      </c>
      <c r="B286" t="s">
        <v>20</v>
      </c>
      <c r="C286" t="s">
        <v>25</v>
      </c>
      <c r="D286" t="s">
        <v>14</v>
      </c>
      <c r="E286">
        <v>8</v>
      </c>
      <c r="F286">
        <v>4984</v>
      </c>
      <c r="G286">
        <v>3189</v>
      </c>
    </row>
    <row r="287" spans="1:7" x14ac:dyDescent="0.25">
      <c r="A287" t="s">
        <v>66</v>
      </c>
      <c r="B287" t="s">
        <v>20</v>
      </c>
      <c r="C287" t="s">
        <v>16</v>
      </c>
      <c r="D287" t="s">
        <v>39</v>
      </c>
      <c r="E287">
        <v>17</v>
      </c>
      <c r="F287">
        <v>20536</v>
      </c>
      <c r="G287">
        <v>13759</v>
      </c>
    </row>
    <row r="288" spans="1:7" x14ac:dyDescent="0.25">
      <c r="A288" t="s">
        <v>107</v>
      </c>
      <c r="B288" t="s">
        <v>12</v>
      </c>
      <c r="C288" t="s">
        <v>25</v>
      </c>
      <c r="D288" t="s">
        <v>18</v>
      </c>
      <c r="E288">
        <v>10</v>
      </c>
      <c r="F288">
        <v>7700</v>
      </c>
      <c r="G288">
        <v>4081</v>
      </c>
    </row>
    <row r="289" spans="1:7" x14ac:dyDescent="0.25">
      <c r="A289" t="s">
        <v>113</v>
      </c>
      <c r="B289" t="s">
        <v>30</v>
      </c>
      <c r="C289" t="s">
        <v>16</v>
      </c>
      <c r="D289" t="s">
        <v>10</v>
      </c>
      <c r="E289">
        <v>11</v>
      </c>
      <c r="F289">
        <v>19822</v>
      </c>
      <c r="G289">
        <v>12289</v>
      </c>
    </row>
    <row r="290" spans="1:7" x14ac:dyDescent="0.25">
      <c r="A290" t="s">
        <v>164</v>
      </c>
      <c r="B290" t="s">
        <v>8</v>
      </c>
      <c r="C290" t="s">
        <v>16</v>
      </c>
      <c r="D290" t="s">
        <v>33</v>
      </c>
      <c r="E290">
        <v>8</v>
      </c>
      <c r="F290">
        <v>13512</v>
      </c>
      <c r="G290">
        <v>10134</v>
      </c>
    </row>
    <row r="291" spans="1:7" x14ac:dyDescent="0.25">
      <c r="A291" t="s">
        <v>165</v>
      </c>
      <c r="B291" t="s">
        <v>12</v>
      </c>
      <c r="C291" t="s">
        <v>16</v>
      </c>
      <c r="D291" t="s">
        <v>18</v>
      </c>
      <c r="E291">
        <v>10</v>
      </c>
      <c r="F291">
        <v>18190</v>
      </c>
      <c r="G291">
        <v>11277</v>
      </c>
    </row>
    <row r="292" spans="1:7" x14ac:dyDescent="0.25">
      <c r="A292" t="s">
        <v>134</v>
      </c>
      <c r="B292" t="s">
        <v>30</v>
      </c>
      <c r="C292" t="s">
        <v>25</v>
      </c>
      <c r="D292" t="s">
        <v>18</v>
      </c>
      <c r="E292">
        <v>18</v>
      </c>
      <c r="F292">
        <v>18054</v>
      </c>
      <c r="G292">
        <v>10290</v>
      </c>
    </row>
    <row r="293" spans="1:7" x14ac:dyDescent="0.25">
      <c r="A293" t="s">
        <v>166</v>
      </c>
      <c r="B293" t="s">
        <v>20</v>
      </c>
      <c r="C293" t="s">
        <v>13</v>
      </c>
      <c r="D293" t="s">
        <v>14</v>
      </c>
      <c r="E293">
        <v>18</v>
      </c>
      <c r="F293">
        <v>30546</v>
      </c>
      <c r="G293">
        <v>19243</v>
      </c>
    </row>
    <row r="294" spans="1:7" x14ac:dyDescent="0.25">
      <c r="A294" t="s">
        <v>167</v>
      </c>
      <c r="B294" t="s">
        <v>20</v>
      </c>
      <c r="C294" t="s">
        <v>16</v>
      </c>
      <c r="D294" t="s">
        <v>18</v>
      </c>
      <c r="E294">
        <v>8</v>
      </c>
      <c r="F294">
        <v>10112</v>
      </c>
      <c r="G294">
        <v>5561</v>
      </c>
    </row>
    <row r="295" spans="1:7" x14ac:dyDescent="0.25">
      <c r="A295" t="s">
        <v>74</v>
      </c>
      <c r="B295" t="s">
        <v>20</v>
      </c>
      <c r="C295" t="s">
        <v>16</v>
      </c>
      <c r="D295" t="s">
        <v>33</v>
      </c>
      <c r="E295">
        <v>7</v>
      </c>
      <c r="F295">
        <v>8946</v>
      </c>
      <c r="G295">
        <v>5099</v>
      </c>
    </row>
    <row r="296" spans="1:7" x14ac:dyDescent="0.25">
      <c r="A296" t="s">
        <v>34</v>
      </c>
      <c r="B296" t="s">
        <v>30</v>
      </c>
      <c r="C296" t="s">
        <v>9</v>
      </c>
      <c r="D296" t="s">
        <v>10</v>
      </c>
      <c r="E296">
        <v>19</v>
      </c>
      <c r="F296">
        <v>34808</v>
      </c>
      <c r="G296">
        <v>18796</v>
      </c>
    </row>
    <row r="297" spans="1:7" x14ac:dyDescent="0.25">
      <c r="A297" t="s">
        <v>45</v>
      </c>
      <c r="B297" t="s">
        <v>20</v>
      </c>
      <c r="C297" t="s">
        <v>25</v>
      </c>
      <c r="D297" t="s">
        <v>14</v>
      </c>
      <c r="E297">
        <v>12</v>
      </c>
      <c r="F297">
        <v>12600</v>
      </c>
      <c r="G297">
        <v>7938</v>
      </c>
    </row>
    <row r="298" spans="1:7" x14ac:dyDescent="0.25">
      <c r="A298" t="s">
        <v>76</v>
      </c>
      <c r="B298" t="s">
        <v>12</v>
      </c>
      <c r="C298" t="s">
        <v>25</v>
      </c>
      <c r="D298" t="s">
        <v>14</v>
      </c>
      <c r="E298">
        <v>12</v>
      </c>
      <c r="F298">
        <v>10608</v>
      </c>
      <c r="G298">
        <v>7213</v>
      </c>
    </row>
    <row r="299" spans="1:7" x14ac:dyDescent="0.25">
      <c r="A299" t="s">
        <v>92</v>
      </c>
      <c r="B299" t="s">
        <v>20</v>
      </c>
      <c r="C299" t="s">
        <v>25</v>
      </c>
      <c r="D299" t="s">
        <v>18</v>
      </c>
      <c r="E299">
        <v>3</v>
      </c>
      <c r="F299">
        <v>2517</v>
      </c>
      <c r="G299">
        <v>1912</v>
      </c>
    </row>
    <row r="300" spans="1:7" x14ac:dyDescent="0.25">
      <c r="A300" t="s">
        <v>168</v>
      </c>
      <c r="B300" t="s">
        <v>20</v>
      </c>
      <c r="C300" t="s">
        <v>25</v>
      </c>
      <c r="D300" t="s">
        <v>10</v>
      </c>
      <c r="E300">
        <v>17</v>
      </c>
      <c r="F300">
        <v>12002</v>
      </c>
      <c r="G300">
        <v>7921</v>
      </c>
    </row>
    <row r="301" spans="1:7" x14ac:dyDescent="0.25">
      <c r="A301" t="s">
        <v>169</v>
      </c>
      <c r="B301" t="s">
        <v>30</v>
      </c>
      <c r="C301" t="s">
        <v>13</v>
      </c>
      <c r="D301" t="s">
        <v>39</v>
      </c>
      <c r="E301">
        <v>6</v>
      </c>
      <c r="F301">
        <v>10206</v>
      </c>
      <c r="G301">
        <v>6735</v>
      </c>
    </row>
    <row r="302" spans="1:7" x14ac:dyDescent="0.25">
      <c r="A302" t="s">
        <v>170</v>
      </c>
      <c r="B302" t="s">
        <v>20</v>
      </c>
      <c r="C302" t="s">
        <v>25</v>
      </c>
      <c r="D302" t="s">
        <v>18</v>
      </c>
      <c r="E302">
        <v>16</v>
      </c>
      <c r="F302">
        <v>27104</v>
      </c>
      <c r="G302">
        <v>14636</v>
      </c>
    </row>
    <row r="303" spans="1:7" x14ac:dyDescent="0.25">
      <c r="A303" t="s">
        <v>50</v>
      </c>
      <c r="B303" t="s">
        <v>20</v>
      </c>
      <c r="C303" t="s">
        <v>25</v>
      </c>
      <c r="D303" t="s">
        <v>18</v>
      </c>
      <c r="E303">
        <v>16</v>
      </c>
      <c r="F303">
        <v>17568</v>
      </c>
      <c r="G303">
        <v>13176</v>
      </c>
    </row>
    <row r="304" spans="1:7" x14ac:dyDescent="0.25">
      <c r="A304" t="s">
        <v>46</v>
      </c>
      <c r="B304" t="s">
        <v>30</v>
      </c>
      <c r="C304" t="s">
        <v>9</v>
      </c>
      <c r="D304" t="s">
        <v>39</v>
      </c>
      <c r="E304">
        <v>12</v>
      </c>
      <c r="F304">
        <v>17484</v>
      </c>
      <c r="G304">
        <v>13637</v>
      </c>
    </row>
    <row r="305" spans="1:7" x14ac:dyDescent="0.25">
      <c r="A305" t="s">
        <v>160</v>
      </c>
      <c r="B305" t="s">
        <v>20</v>
      </c>
      <c r="C305" t="s">
        <v>9</v>
      </c>
      <c r="D305" t="s">
        <v>14</v>
      </c>
      <c r="E305">
        <v>19</v>
      </c>
      <c r="F305">
        <v>37221</v>
      </c>
      <c r="G305">
        <v>29776</v>
      </c>
    </row>
    <row r="306" spans="1:7" x14ac:dyDescent="0.25">
      <c r="A306" t="s">
        <v>124</v>
      </c>
      <c r="B306" t="s">
        <v>20</v>
      </c>
      <c r="C306" t="s">
        <v>9</v>
      </c>
      <c r="D306" t="s">
        <v>10</v>
      </c>
      <c r="E306">
        <v>16</v>
      </c>
      <c r="F306">
        <v>22400</v>
      </c>
      <c r="G306">
        <v>13216</v>
      </c>
    </row>
    <row r="307" spans="1:7" x14ac:dyDescent="0.25">
      <c r="A307" t="s">
        <v>86</v>
      </c>
      <c r="B307" t="s">
        <v>30</v>
      </c>
      <c r="C307" t="s">
        <v>9</v>
      </c>
      <c r="D307" t="s">
        <v>18</v>
      </c>
      <c r="E307">
        <v>6</v>
      </c>
      <c r="F307">
        <v>5742</v>
      </c>
      <c r="G307">
        <v>3043</v>
      </c>
    </row>
    <row r="308" spans="1:7" x14ac:dyDescent="0.25">
      <c r="A308" t="s">
        <v>56</v>
      </c>
      <c r="B308" t="s">
        <v>30</v>
      </c>
      <c r="C308" t="s">
        <v>13</v>
      </c>
      <c r="D308" t="s">
        <v>33</v>
      </c>
      <c r="E308">
        <v>18</v>
      </c>
      <c r="F308">
        <v>9270</v>
      </c>
      <c r="G308">
        <v>7045</v>
      </c>
    </row>
    <row r="309" spans="1:7" x14ac:dyDescent="0.25">
      <c r="A309" t="s">
        <v>171</v>
      </c>
      <c r="B309" t="s">
        <v>8</v>
      </c>
      <c r="C309" t="s">
        <v>13</v>
      </c>
      <c r="D309" t="s">
        <v>18</v>
      </c>
      <c r="E309">
        <v>6</v>
      </c>
      <c r="F309">
        <v>8724</v>
      </c>
      <c r="G309">
        <v>6194</v>
      </c>
    </row>
    <row r="310" spans="1:7" x14ac:dyDescent="0.25">
      <c r="A310" t="s">
        <v>145</v>
      </c>
      <c r="B310" t="s">
        <v>20</v>
      </c>
      <c r="C310" t="s">
        <v>16</v>
      </c>
      <c r="D310" t="s">
        <v>18</v>
      </c>
      <c r="E310">
        <v>10</v>
      </c>
      <c r="F310">
        <v>19700</v>
      </c>
      <c r="G310">
        <v>15760</v>
      </c>
    </row>
    <row r="311" spans="1:7" x14ac:dyDescent="0.25">
      <c r="A311" t="s">
        <v>23</v>
      </c>
      <c r="B311" t="s">
        <v>30</v>
      </c>
      <c r="C311" t="s">
        <v>13</v>
      </c>
      <c r="D311" t="s">
        <v>10</v>
      </c>
      <c r="E311">
        <v>18</v>
      </c>
      <c r="F311">
        <v>21924</v>
      </c>
      <c r="G311">
        <v>11619</v>
      </c>
    </row>
    <row r="312" spans="1:7" x14ac:dyDescent="0.25">
      <c r="A312" t="s">
        <v>172</v>
      </c>
      <c r="B312" t="s">
        <v>8</v>
      </c>
      <c r="C312" t="s">
        <v>25</v>
      </c>
      <c r="D312" t="s">
        <v>22</v>
      </c>
      <c r="E312">
        <v>3</v>
      </c>
      <c r="F312">
        <v>2286</v>
      </c>
      <c r="G312">
        <v>1691</v>
      </c>
    </row>
    <row r="313" spans="1:7" x14ac:dyDescent="0.25">
      <c r="A313" t="s">
        <v>113</v>
      </c>
      <c r="B313" t="s">
        <v>20</v>
      </c>
      <c r="C313" t="s">
        <v>25</v>
      </c>
      <c r="D313" t="s">
        <v>14</v>
      </c>
      <c r="E313">
        <v>1</v>
      </c>
      <c r="F313">
        <v>893</v>
      </c>
      <c r="G313">
        <v>705</v>
      </c>
    </row>
    <row r="314" spans="1:7" x14ac:dyDescent="0.25">
      <c r="A314" t="s">
        <v>90</v>
      </c>
      <c r="B314" t="s">
        <v>8</v>
      </c>
      <c r="C314" t="s">
        <v>9</v>
      </c>
      <c r="D314" t="s">
        <v>22</v>
      </c>
      <c r="E314">
        <v>11</v>
      </c>
      <c r="F314">
        <v>12727</v>
      </c>
      <c r="G314">
        <v>9672</v>
      </c>
    </row>
    <row r="315" spans="1:7" x14ac:dyDescent="0.25">
      <c r="A315" t="s">
        <v>63</v>
      </c>
      <c r="B315" t="s">
        <v>30</v>
      </c>
      <c r="C315" t="s">
        <v>16</v>
      </c>
      <c r="D315" t="s">
        <v>18</v>
      </c>
      <c r="E315">
        <v>8</v>
      </c>
      <c r="F315">
        <v>8072</v>
      </c>
      <c r="G315">
        <v>4358</v>
      </c>
    </row>
    <row r="316" spans="1:7" x14ac:dyDescent="0.25">
      <c r="A316" t="s">
        <v>137</v>
      </c>
      <c r="B316" t="s">
        <v>12</v>
      </c>
      <c r="C316" t="s">
        <v>13</v>
      </c>
      <c r="D316" t="s">
        <v>14</v>
      </c>
      <c r="E316">
        <v>20</v>
      </c>
      <c r="F316">
        <v>32640</v>
      </c>
      <c r="G316">
        <v>22195</v>
      </c>
    </row>
    <row r="317" spans="1:7" x14ac:dyDescent="0.25">
      <c r="A317" t="s">
        <v>97</v>
      </c>
      <c r="B317" t="s">
        <v>30</v>
      </c>
      <c r="C317" t="s">
        <v>9</v>
      </c>
      <c r="D317" t="s">
        <v>39</v>
      </c>
      <c r="E317">
        <v>11</v>
      </c>
      <c r="F317">
        <v>9757</v>
      </c>
      <c r="G317">
        <v>6342</v>
      </c>
    </row>
    <row r="318" spans="1:7" x14ac:dyDescent="0.25">
      <c r="A318" t="s">
        <v>38</v>
      </c>
      <c r="B318" t="s">
        <v>8</v>
      </c>
      <c r="C318" t="s">
        <v>25</v>
      </c>
      <c r="D318" t="s">
        <v>14</v>
      </c>
      <c r="E318">
        <v>17</v>
      </c>
      <c r="F318">
        <v>8755</v>
      </c>
      <c r="G318">
        <v>6566</v>
      </c>
    </row>
    <row r="319" spans="1:7" x14ac:dyDescent="0.25">
      <c r="A319" t="s">
        <v>128</v>
      </c>
      <c r="B319" t="s">
        <v>30</v>
      </c>
      <c r="C319" t="s">
        <v>9</v>
      </c>
      <c r="D319" t="s">
        <v>39</v>
      </c>
      <c r="E319">
        <v>10</v>
      </c>
      <c r="F319">
        <v>9270</v>
      </c>
      <c r="G319">
        <v>5932</v>
      </c>
    </row>
    <row r="320" spans="1:7" x14ac:dyDescent="0.25">
      <c r="A320" t="s">
        <v>77</v>
      </c>
      <c r="B320" t="s">
        <v>8</v>
      </c>
      <c r="C320" t="s">
        <v>9</v>
      </c>
      <c r="D320" t="s">
        <v>10</v>
      </c>
      <c r="E320">
        <v>5</v>
      </c>
      <c r="F320">
        <v>9105</v>
      </c>
      <c r="G320">
        <v>5463</v>
      </c>
    </row>
    <row r="321" spans="1:7" x14ac:dyDescent="0.25">
      <c r="A321" t="s">
        <v>101</v>
      </c>
      <c r="B321" t="s">
        <v>12</v>
      </c>
      <c r="C321" t="s">
        <v>9</v>
      </c>
      <c r="D321" t="s">
        <v>33</v>
      </c>
      <c r="E321">
        <v>19</v>
      </c>
      <c r="F321">
        <v>25612</v>
      </c>
      <c r="G321">
        <v>14086</v>
      </c>
    </row>
    <row r="322" spans="1:7" x14ac:dyDescent="0.25">
      <c r="A322" t="s">
        <v>44</v>
      </c>
      <c r="B322" t="s">
        <v>30</v>
      </c>
      <c r="C322" t="s">
        <v>9</v>
      </c>
      <c r="D322" t="s">
        <v>33</v>
      </c>
      <c r="E322">
        <v>11</v>
      </c>
      <c r="F322">
        <v>21208</v>
      </c>
      <c r="G322">
        <v>11028</v>
      </c>
    </row>
    <row r="323" spans="1:7" x14ac:dyDescent="0.25">
      <c r="A323" t="s">
        <v>85</v>
      </c>
      <c r="B323" t="s">
        <v>20</v>
      </c>
      <c r="C323" t="s">
        <v>13</v>
      </c>
      <c r="D323" t="s">
        <v>33</v>
      </c>
      <c r="E323">
        <v>9</v>
      </c>
      <c r="F323">
        <v>17892</v>
      </c>
      <c r="G323">
        <v>13419</v>
      </c>
    </row>
    <row r="324" spans="1:7" x14ac:dyDescent="0.25">
      <c r="A324" t="s">
        <v>143</v>
      </c>
      <c r="B324" t="s">
        <v>20</v>
      </c>
      <c r="C324" t="s">
        <v>9</v>
      </c>
      <c r="D324" t="s">
        <v>39</v>
      </c>
      <c r="E324">
        <v>20</v>
      </c>
      <c r="F324">
        <v>31000</v>
      </c>
      <c r="G324">
        <v>19220</v>
      </c>
    </row>
    <row r="325" spans="1:7" x14ac:dyDescent="0.25">
      <c r="A325" t="s">
        <v>45</v>
      </c>
      <c r="B325" t="s">
        <v>30</v>
      </c>
      <c r="C325" t="s">
        <v>13</v>
      </c>
      <c r="D325" t="s">
        <v>10</v>
      </c>
      <c r="E325">
        <v>13</v>
      </c>
      <c r="F325">
        <v>11986</v>
      </c>
      <c r="G325">
        <v>8869</v>
      </c>
    </row>
    <row r="326" spans="1:7" x14ac:dyDescent="0.25">
      <c r="A326" t="s">
        <v>166</v>
      </c>
      <c r="B326" t="s">
        <v>20</v>
      </c>
      <c r="C326" t="s">
        <v>25</v>
      </c>
      <c r="D326" t="s">
        <v>39</v>
      </c>
      <c r="E326">
        <v>17</v>
      </c>
      <c r="F326">
        <v>16592</v>
      </c>
      <c r="G326">
        <v>9125</v>
      </c>
    </row>
    <row r="327" spans="1:7" x14ac:dyDescent="0.25">
      <c r="A327" t="s">
        <v>158</v>
      </c>
      <c r="B327" t="s">
        <v>8</v>
      </c>
      <c r="C327" t="s">
        <v>13</v>
      </c>
      <c r="D327" t="s">
        <v>33</v>
      </c>
      <c r="E327">
        <v>4</v>
      </c>
      <c r="F327">
        <v>4004</v>
      </c>
      <c r="G327">
        <v>2042</v>
      </c>
    </row>
    <row r="328" spans="1:7" x14ac:dyDescent="0.25">
      <c r="A328" t="s">
        <v>116</v>
      </c>
      <c r="B328" t="s">
        <v>12</v>
      </c>
      <c r="C328" t="s">
        <v>16</v>
      </c>
      <c r="D328" t="s">
        <v>33</v>
      </c>
      <c r="E328">
        <v>7</v>
      </c>
      <c r="F328">
        <v>6426</v>
      </c>
      <c r="G328">
        <v>5012</v>
      </c>
    </row>
    <row r="329" spans="1:7" x14ac:dyDescent="0.25">
      <c r="A329" t="s">
        <v>41</v>
      </c>
      <c r="B329" t="s">
        <v>20</v>
      </c>
      <c r="C329" t="s">
        <v>16</v>
      </c>
      <c r="D329" t="s">
        <v>18</v>
      </c>
      <c r="E329">
        <v>2</v>
      </c>
      <c r="F329">
        <v>1782</v>
      </c>
      <c r="G329">
        <v>1318</v>
      </c>
    </row>
    <row r="330" spans="1:7" x14ac:dyDescent="0.25">
      <c r="A330" t="s">
        <v>114</v>
      </c>
      <c r="B330" t="s">
        <v>30</v>
      </c>
      <c r="C330" t="s">
        <v>13</v>
      </c>
      <c r="D330" t="s">
        <v>22</v>
      </c>
      <c r="E330">
        <v>19</v>
      </c>
      <c r="F330">
        <v>29602</v>
      </c>
      <c r="G330">
        <v>15985</v>
      </c>
    </row>
    <row r="331" spans="1:7" x14ac:dyDescent="0.25">
      <c r="A331" t="s">
        <v>105</v>
      </c>
      <c r="B331" t="s">
        <v>30</v>
      </c>
      <c r="C331" t="s">
        <v>13</v>
      </c>
      <c r="D331" t="s">
        <v>33</v>
      </c>
      <c r="E331">
        <v>17</v>
      </c>
      <c r="F331">
        <v>14467</v>
      </c>
      <c r="G331">
        <v>7522</v>
      </c>
    </row>
    <row r="332" spans="1:7" x14ac:dyDescent="0.25">
      <c r="A332" t="s">
        <v>58</v>
      </c>
      <c r="B332" t="s">
        <v>8</v>
      </c>
      <c r="C332" t="s">
        <v>16</v>
      </c>
      <c r="D332" t="s">
        <v>22</v>
      </c>
      <c r="E332">
        <v>19</v>
      </c>
      <c r="F332">
        <v>14022</v>
      </c>
      <c r="G332">
        <v>9955</v>
      </c>
    </row>
    <row r="333" spans="1:7" x14ac:dyDescent="0.25">
      <c r="A333" t="s">
        <v>102</v>
      </c>
      <c r="B333" t="s">
        <v>8</v>
      </c>
      <c r="C333" t="s">
        <v>16</v>
      </c>
      <c r="D333" t="s">
        <v>10</v>
      </c>
      <c r="E333">
        <v>6</v>
      </c>
      <c r="F333">
        <v>9486</v>
      </c>
      <c r="G333">
        <v>6735</v>
      </c>
    </row>
    <row r="334" spans="1:7" x14ac:dyDescent="0.25">
      <c r="A334" t="s">
        <v>173</v>
      </c>
      <c r="B334" t="s">
        <v>8</v>
      </c>
      <c r="C334" t="s">
        <v>9</v>
      </c>
      <c r="D334" t="s">
        <v>18</v>
      </c>
      <c r="E334">
        <v>11</v>
      </c>
      <c r="F334">
        <v>21681</v>
      </c>
      <c r="G334">
        <v>16911</v>
      </c>
    </row>
    <row r="335" spans="1:7" x14ac:dyDescent="0.25">
      <c r="A335" t="s">
        <v>138</v>
      </c>
      <c r="B335" t="s">
        <v>20</v>
      </c>
      <c r="C335" t="s">
        <v>16</v>
      </c>
      <c r="D335" t="s">
        <v>10</v>
      </c>
      <c r="E335">
        <v>11</v>
      </c>
      <c r="F335">
        <v>16379</v>
      </c>
      <c r="G335">
        <v>10154</v>
      </c>
    </row>
    <row r="336" spans="1:7" x14ac:dyDescent="0.25">
      <c r="A336" t="s">
        <v>174</v>
      </c>
      <c r="B336" t="s">
        <v>20</v>
      </c>
      <c r="C336" t="s">
        <v>16</v>
      </c>
      <c r="D336" t="s">
        <v>14</v>
      </c>
      <c r="E336">
        <v>15</v>
      </c>
      <c r="F336">
        <v>18840</v>
      </c>
      <c r="G336">
        <v>13564</v>
      </c>
    </row>
    <row r="337" spans="1:7" x14ac:dyDescent="0.25">
      <c r="A337" t="s">
        <v>53</v>
      </c>
      <c r="B337" t="s">
        <v>30</v>
      </c>
      <c r="C337" t="s">
        <v>9</v>
      </c>
      <c r="D337" t="s">
        <v>18</v>
      </c>
      <c r="E337">
        <v>10</v>
      </c>
      <c r="F337">
        <v>11650</v>
      </c>
      <c r="G337">
        <v>8621</v>
      </c>
    </row>
    <row r="338" spans="1:7" x14ac:dyDescent="0.25">
      <c r="A338" t="s">
        <v>161</v>
      </c>
      <c r="B338" t="s">
        <v>12</v>
      </c>
      <c r="C338" t="s">
        <v>25</v>
      </c>
      <c r="D338" t="s">
        <v>33</v>
      </c>
      <c r="E338">
        <v>18</v>
      </c>
      <c r="F338">
        <v>13068</v>
      </c>
      <c r="G338">
        <v>9408</v>
      </c>
    </row>
    <row r="339" spans="1:7" x14ac:dyDescent="0.25">
      <c r="A339" t="s">
        <v>165</v>
      </c>
      <c r="B339" t="s">
        <v>30</v>
      </c>
      <c r="C339" t="s">
        <v>25</v>
      </c>
      <c r="D339" t="s">
        <v>14</v>
      </c>
      <c r="E339">
        <v>8</v>
      </c>
      <c r="F339">
        <v>9272</v>
      </c>
      <c r="G339">
        <v>7139</v>
      </c>
    </row>
    <row r="340" spans="1:7" x14ac:dyDescent="0.25">
      <c r="A340" t="s">
        <v>128</v>
      </c>
      <c r="B340" t="s">
        <v>12</v>
      </c>
      <c r="C340" t="s">
        <v>16</v>
      </c>
      <c r="D340" t="s">
        <v>14</v>
      </c>
      <c r="E340">
        <v>11</v>
      </c>
      <c r="F340">
        <v>5863</v>
      </c>
      <c r="G340">
        <v>3810</v>
      </c>
    </row>
    <row r="341" spans="1:7" x14ac:dyDescent="0.25">
      <c r="A341" t="s">
        <v>149</v>
      </c>
      <c r="B341" t="s">
        <v>8</v>
      </c>
      <c r="C341" t="s">
        <v>25</v>
      </c>
      <c r="D341" t="s">
        <v>18</v>
      </c>
      <c r="E341">
        <v>16</v>
      </c>
      <c r="F341">
        <v>25904</v>
      </c>
      <c r="G341">
        <v>20723</v>
      </c>
    </row>
    <row r="342" spans="1:7" x14ac:dyDescent="0.25">
      <c r="A342" t="s">
        <v>119</v>
      </c>
      <c r="B342" t="s">
        <v>30</v>
      </c>
      <c r="C342" t="s">
        <v>16</v>
      </c>
      <c r="D342" t="s">
        <v>33</v>
      </c>
      <c r="E342">
        <v>14</v>
      </c>
      <c r="F342">
        <v>19754</v>
      </c>
      <c r="G342">
        <v>13432</v>
      </c>
    </row>
    <row r="343" spans="1:7" x14ac:dyDescent="0.25">
      <c r="A343" t="s">
        <v>170</v>
      </c>
      <c r="B343" t="s">
        <v>20</v>
      </c>
      <c r="C343" t="s">
        <v>13</v>
      </c>
      <c r="D343" t="s">
        <v>39</v>
      </c>
      <c r="E343">
        <v>19</v>
      </c>
      <c r="F343">
        <v>35169</v>
      </c>
      <c r="G343">
        <v>22156</v>
      </c>
    </row>
    <row r="344" spans="1:7" x14ac:dyDescent="0.25">
      <c r="A344" t="s">
        <v>96</v>
      </c>
      <c r="B344" t="s">
        <v>20</v>
      </c>
      <c r="C344" t="s">
        <v>13</v>
      </c>
      <c r="D344" t="s">
        <v>10</v>
      </c>
      <c r="E344">
        <v>19</v>
      </c>
      <c r="F344">
        <v>14649</v>
      </c>
      <c r="G344">
        <v>9814</v>
      </c>
    </row>
    <row r="345" spans="1:7" x14ac:dyDescent="0.25">
      <c r="A345" t="s">
        <v>175</v>
      </c>
      <c r="B345" t="s">
        <v>12</v>
      </c>
      <c r="C345" t="s">
        <v>9</v>
      </c>
      <c r="D345" t="s">
        <v>10</v>
      </c>
      <c r="E345">
        <v>11</v>
      </c>
      <c r="F345">
        <v>10109</v>
      </c>
      <c r="G345">
        <v>6773</v>
      </c>
    </row>
    <row r="346" spans="1:7" x14ac:dyDescent="0.25">
      <c r="A346" t="s">
        <v>134</v>
      </c>
      <c r="B346" t="s">
        <v>12</v>
      </c>
      <c r="C346" t="s">
        <v>13</v>
      </c>
      <c r="D346" t="s">
        <v>10</v>
      </c>
      <c r="E346">
        <v>1</v>
      </c>
      <c r="F346">
        <v>1119</v>
      </c>
      <c r="G346">
        <v>581</v>
      </c>
    </row>
    <row r="347" spans="1:7" x14ac:dyDescent="0.25">
      <c r="A347" t="s">
        <v>158</v>
      </c>
      <c r="B347" t="s">
        <v>12</v>
      </c>
      <c r="C347" t="s">
        <v>13</v>
      </c>
      <c r="D347" t="s">
        <v>18</v>
      </c>
      <c r="E347">
        <v>19</v>
      </c>
      <c r="F347">
        <v>19361</v>
      </c>
      <c r="G347">
        <v>11229</v>
      </c>
    </row>
    <row r="348" spans="1:7" x14ac:dyDescent="0.25">
      <c r="A348" t="s">
        <v>158</v>
      </c>
      <c r="B348" t="s">
        <v>8</v>
      </c>
      <c r="C348" t="s">
        <v>25</v>
      </c>
      <c r="D348" t="s">
        <v>33</v>
      </c>
      <c r="E348">
        <v>15</v>
      </c>
      <c r="F348">
        <v>11700</v>
      </c>
      <c r="G348">
        <v>6435</v>
      </c>
    </row>
    <row r="349" spans="1:7" x14ac:dyDescent="0.25">
      <c r="A349" t="s">
        <v>48</v>
      </c>
      <c r="B349" t="s">
        <v>8</v>
      </c>
      <c r="C349" t="s">
        <v>25</v>
      </c>
      <c r="D349" t="s">
        <v>22</v>
      </c>
      <c r="E349">
        <v>20</v>
      </c>
      <c r="F349">
        <v>18340</v>
      </c>
      <c r="G349">
        <v>10087</v>
      </c>
    </row>
    <row r="350" spans="1:7" x14ac:dyDescent="0.25">
      <c r="A350" t="s">
        <v>165</v>
      </c>
      <c r="B350" t="s">
        <v>30</v>
      </c>
      <c r="C350" t="s">
        <v>16</v>
      </c>
      <c r="D350" t="s">
        <v>18</v>
      </c>
      <c r="E350">
        <v>6</v>
      </c>
      <c r="F350">
        <v>9348</v>
      </c>
      <c r="G350">
        <v>5328</v>
      </c>
    </row>
    <row r="351" spans="1:7" x14ac:dyDescent="0.25">
      <c r="A351" t="s">
        <v>57</v>
      </c>
      <c r="B351" t="s">
        <v>30</v>
      </c>
      <c r="C351" t="s">
        <v>13</v>
      </c>
      <c r="D351" t="s">
        <v>14</v>
      </c>
      <c r="E351">
        <v>8</v>
      </c>
      <c r="F351">
        <v>11200</v>
      </c>
      <c r="G351">
        <v>7280</v>
      </c>
    </row>
    <row r="352" spans="1:7" x14ac:dyDescent="0.25">
      <c r="A352" t="s">
        <v>105</v>
      </c>
      <c r="B352" t="s">
        <v>20</v>
      </c>
      <c r="C352" t="s">
        <v>25</v>
      </c>
      <c r="D352" t="s">
        <v>14</v>
      </c>
      <c r="E352">
        <v>19</v>
      </c>
      <c r="F352">
        <v>18582</v>
      </c>
      <c r="G352">
        <v>11706</v>
      </c>
    </row>
    <row r="353" spans="1:7" x14ac:dyDescent="0.25">
      <c r="A353" t="s">
        <v>85</v>
      </c>
      <c r="B353" t="s">
        <v>8</v>
      </c>
      <c r="C353" t="s">
        <v>25</v>
      </c>
      <c r="D353" t="s">
        <v>39</v>
      </c>
      <c r="E353">
        <v>12</v>
      </c>
      <c r="F353">
        <v>19836</v>
      </c>
      <c r="G353">
        <v>15472</v>
      </c>
    </row>
    <row r="354" spans="1:7" x14ac:dyDescent="0.25">
      <c r="A354" t="s">
        <v>118</v>
      </c>
      <c r="B354" t="s">
        <v>20</v>
      </c>
      <c r="C354" t="s">
        <v>16</v>
      </c>
      <c r="D354" t="s">
        <v>14</v>
      </c>
      <c r="E354">
        <v>13</v>
      </c>
      <c r="F354">
        <v>8177</v>
      </c>
      <c r="G354">
        <v>4252</v>
      </c>
    </row>
    <row r="355" spans="1:7" x14ac:dyDescent="0.25">
      <c r="A355" t="s">
        <v>69</v>
      </c>
      <c r="B355" t="s">
        <v>20</v>
      </c>
      <c r="C355" t="s">
        <v>16</v>
      </c>
      <c r="D355" t="s">
        <v>18</v>
      </c>
      <c r="E355">
        <v>19</v>
      </c>
      <c r="F355">
        <v>14326</v>
      </c>
      <c r="G355">
        <v>8452</v>
      </c>
    </row>
    <row r="356" spans="1:7" x14ac:dyDescent="0.25">
      <c r="A356" t="s">
        <v>82</v>
      </c>
      <c r="B356" t="s">
        <v>30</v>
      </c>
      <c r="C356" t="s">
        <v>9</v>
      </c>
      <c r="D356" t="s">
        <v>14</v>
      </c>
      <c r="E356">
        <v>18</v>
      </c>
      <c r="F356">
        <v>34308</v>
      </c>
      <c r="G356">
        <v>22643</v>
      </c>
    </row>
    <row r="357" spans="1:7" x14ac:dyDescent="0.25">
      <c r="A357" t="s">
        <v>60</v>
      </c>
      <c r="B357" t="s">
        <v>20</v>
      </c>
      <c r="C357" t="s">
        <v>9</v>
      </c>
      <c r="D357" t="s">
        <v>22</v>
      </c>
      <c r="E357">
        <v>8</v>
      </c>
      <c r="F357">
        <v>6048</v>
      </c>
      <c r="G357">
        <v>4354</v>
      </c>
    </row>
    <row r="358" spans="1:7" x14ac:dyDescent="0.25">
      <c r="A358" t="s">
        <v>136</v>
      </c>
      <c r="B358" t="s">
        <v>12</v>
      </c>
      <c r="C358" t="s">
        <v>25</v>
      </c>
      <c r="D358" t="s">
        <v>22</v>
      </c>
      <c r="E358">
        <v>6</v>
      </c>
      <c r="F358">
        <v>10602</v>
      </c>
      <c r="G358">
        <v>8163</v>
      </c>
    </row>
    <row r="359" spans="1:7" x14ac:dyDescent="0.25">
      <c r="A359" t="s">
        <v>69</v>
      </c>
      <c r="B359" t="s">
        <v>8</v>
      </c>
      <c r="C359" t="s">
        <v>9</v>
      </c>
      <c r="D359" t="s">
        <v>14</v>
      </c>
      <c r="E359">
        <v>7</v>
      </c>
      <c r="F359">
        <v>9009</v>
      </c>
      <c r="G359">
        <v>7027</v>
      </c>
    </row>
    <row r="360" spans="1:7" x14ac:dyDescent="0.25">
      <c r="A360" t="s">
        <v>114</v>
      </c>
      <c r="B360" t="s">
        <v>30</v>
      </c>
      <c r="C360" t="s">
        <v>13</v>
      </c>
      <c r="D360" t="s">
        <v>22</v>
      </c>
      <c r="E360">
        <v>12</v>
      </c>
      <c r="F360">
        <v>9888</v>
      </c>
      <c r="G360">
        <v>7317</v>
      </c>
    </row>
    <row r="361" spans="1:7" x14ac:dyDescent="0.25">
      <c r="A361" t="s">
        <v>147</v>
      </c>
      <c r="B361" t="s">
        <v>30</v>
      </c>
      <c r="C361" t="s">
        <v>9</v>
      </c>
      <c r="D361" t="s">
        <v>14</v>
      </c>
      <c r="E361">
        <v>15</v>
      </c>
      <c r="F361">
        <v>8970</v>
      </c>
      <c r="G361">
        <v>4574</v>
      </c>
    </row>
    <row r="362" spans="1:7" x14ac:dyDescent="0.25">
      <c r="A362" t="s">
        <v>72</v>
      </c>
      <c r="B362" t="s">
        <v>20</v>
      </c>
      <c r="C362" t="s">
        <v>25</v>
      </c>
      <c r="D362" t="s">
        <v>14</v>
      </c>
      <c r="E362">
        <v>9</v>
      </c>
      <c r="F362">
        <v>7209</v>
      </c>
      <c r="G362">
        <v>3892</v>
      </c>
    </row>
    <row r="363" spans="1:7" x14ac:dyDescent="0.25">
      <c r="A363" t="s">
        <v>139</v>
      </c>
      <c r="B363" t="s">
        <v>30</v>
      </c>
      <c r="C363" t="s">
        <v>13</v>
      </c>
      <c r="D363" t="s">
        <v>10</v>
      </c>
      <c r="E363">
        <v>10</v>
      </c>
      <c r="F363">
        <v>18090</v>
      </c>
      <c r="G363">
        <v>10492</v>
      </c>
    </row>
    <row r="364" spans="1:7" x14ac:dyDescent="0.25">
      <c r="A364" t="s">
        <v>56</v>
      </c>
      <c r="B364" t="s">
        <v>8</v>
      </c>
      <c r="C364" t="s">
        <v>9</v>
      </c>
      <c r="D364" t="s">
        <v>33</v>
      </c>
      <c r="E364">
        <v>12</v>
      </c>
      <c r="F364">
        <v>19896</v>
      </c>
      <c r="G364">
        <v>15518</v>
      </c>
    </row>
    <row r="365" spans="1:7" x14ac:dyDescent="0.25">
      <c r="A365" t="s">
        <v>156</v>
      </c>
      <c r="B365" t="s">
        <v>20</v>
      </c>
      <c r="C365" t="s">
        <v>9</v>
      </c>
      <c r="D365" t="s">
        <v>14</v>
      </c>
      <c r="E365">
        <v>17</v>
      </c>
      <c r="F365">
        <v>20213</v>
      </c>
      <c r="G365">
        <v>10308</v>
      </c>
    </row>
    <row r="366" spans="1:7" x14ac:dyDescent="0.25">
      <c r="A366" t="s">
        <v>106</v>
      </c>
      <c r="B366" t="s">
        <v>8</v>
      </c>
      <c r="C366" t="s">
        <v>9</v>
      </c>
      <c r="D366" t="s">
        <v>18</v>
      </c>
      <c r="E366">
        <v>15</v>
      </c>
      <c r="F366">
        <v>12330</v>
      </c>
      <c r="G366">
        <v>7891</v>
      </c>
    </row>
    <row r="367" spans="1:7" x14ac:dyDescent="0.25">
      <c r="A367" t="s">
        <v>26</v>
      </c>
      <c r="B367" t="s">
        <v>30</v>
      </c>
      <c r="C367" t="s">
        <v>16</v>
      </c>
      <c r="D367" t="s">
        <v>18</v>
      </c>
      <c r="E367">
        <v>7</v>
      </c>
      <c r="F367">
        <v>9646</v>
      </c>
      <c r="G367">
        <v>7138</v>
      </c>
    </row>
    <row r="368" spans="1:7" x14ac:dyDescent="0.25">
      <c r="A368" t="s">
        <v>96</v>
      </c>
      <c r="B368" t="s">
        <v>8</v>
      </c>
      <c r="C368" t="s">
        <v>16</v>
      </c>
      <c r="D368" t="s">
        <v>18</v>
      </c>
      <c r="E368">
        <v>7</v>
      </c>
      <c r="F368">
        <v>5292</v>
      </c>
      <c r="G368">
        <v>2963</v>
      </c>
    </row>
    <row r="369" spans="1:7" x14ac:dyDescent="0.25">
      <c r="A369" t="s">
        <v>146</v>
      </c>
      <c r="B369" t="s">
        <v>8</v>
      </c>
      <c r="C369" t="s">
        <v>25</v>
      </c>
      <c r="D369" t="s">
        <v>18</v>
      </c>
      <c r="E369">
        <v>12</v>
      </c>
      <c r="F369">
        <v>17460</v>
      </c>
      <c r="G369">
        <v>12745</v>
      </c>
    </row>
    <row r="370" spans="1:7" x14ac:dyDescent="0.25">
      <c r="A370" t="s">
        <v>150</v>
      </c>
      <c r="B370" t="s">
        <v>30</v>
      </c>
      <c r="C370" t="s">
        <v>16</v>
      </c>
      <c r="D370" t="s">
        <v>14</v>
      </c>
      <c r="E370">
        <v>8</v>
      </c>
      <c r="F370">
        <v>15016</v>
      </c>
      <c r="G370">
        <v>9760</v>
      </c>
    </row>
    <row r="371" spans="1:7" x14ac:dyDescent="0.25">
      <c r="A371" t="s">
        <v>63</v>
      </c>
      <c r="B371" t="s">
        <v>30</v>
      </c>
      <c r="C371" t="s">
        <v>9</v>
      </c>
      <c r="D371" t="s">
        <v>14</v>
      </c>
      <c r="E371">
        <v>14</v>
      </c>
      <c r="F371">
        <v>26866</v>
      </c>
      <c r="G371">
        <v>18000</v>
      </c>
    </row>
    <row r="372" spans="1:7" x14ac:dyDescent="0.25">
      <c r="A372" t="s">
        <v>116</v>
      </c>
      <c r="B372" t="s">
        <v>20</v>
      </c>
      <c r="C372" t="s">
        <v>16</v>
      </c>
      <c r="D372" t="s">
        <v>10</v>
      </c>
      <c r="E372">
        <v>6</v>
      </c>
      <c r="F372">
        <v>11322</v>
      </c>
      <c r="G372">
        <v>6113</v>
      </c>
    </row>
    <row r="373" spans="1:7" x14ac:dyDescent="0.25">
      <c r="A373" t="s">
        <v>151</v>
      </c>
      <c r="B373" t="s">
        <v>20</v>
      </c>
      <c r="C373" t="s">
        <v>16</v>
      </c>
      <c r="D373" t="s">
        <v>10</v>
      </c>
      <c r="E373">
        <v>15</v>
      </c>
      <c r="F373">
        <v>28965</v>
      </c>
      <c r="G373">
        <v>22592</v>
      </c>
    </row>
    <row r="374" spans="1:7" x14ac:dyDescent="0.25">
      <c r="A374" t="s">
        <v>60</v>
      </c>
      <c r="B374" t="s">
        <v>20</v>
      </c>
      <c r="C374" t="s">
        <v>9</v>
      </c>
      <c r="D374" t="s">
        <v>39</v>
      </c>
      <c r="E374">
        <v>18</v>
      </c>
      <c r="F374">
        <v>11016</v>
      </c>
      <c r="G374">
        <v>6389</v>
      </c>
    </row>
    <row r="375" spans="1:7" x14ac:dyDescent="0.25">
      <c r="A375" t="s">
        <v>15</v>
      </c>
      <c r="B375" t="s">
        <v>20</v>
      </c>
      <c r="C375" t="s">
        <v>16</v>
      </c>
      <c r="D375" t="s">
        <v>33</v>
      </c>
      <c r="E375">
        <v>10</v>
      </c>
      <c r="F375">
        <v>6470</v>
      </c>
      <c r="G375">
        <v>4076</v>
      </c>
    </row>
    <row r="376" spans="1:7" x14ac:dyDescent="0.25">
      <c r="A376" t="s">
        <v>93</v>
      </c>
      <c r="B376" t="s">
        <v>30</v>
      </c>
      <c r="C376" t="s">
        <v>9</v>
      </c>
      <c r="D376" t="s">
        <v>22</v>
      </c>
      <c r="E376">
        <v>18</v>
      </c>
      <c r="F376">
        <v>28080</v>
      </c>
      <c r="G376">
        <v>16567</v>
      </c>
    </row>
    <row r="377" spans="1:7" x14ac:dyDescent="0.25">
      <c r="A377" t="s">
        <v>150</v>
      </c>
      <c r="B377" t="s">
        <v>12</v>
      </c>
      <c r="C377" t="s">
        <v>9</v>
      </c>
      <c r="D377" t="s">
        <v>18</v>
      </c>
      <c r="E377">
        <v>19</v>
      </c>
      <c r="F377">
        <v>22344</v>
      </c>
      <c r="G377">
        <v>16981</v>
      </c>
    </row>
    <row r="378" spans="1:7" x14ac:dyDescent="0.25">
      <c r="A378" t="s">
        <v>73</v>
      </c>
      <c r="B378" t="s">
        <v>30</v>
      </c>
      <c r="C378" t="s">
        <v>25</v>
      </c>
      <c r="D378" t="s">
        <v>14</v>
      </c>
      <c r="E378">
        <v>17</v>
      </c>
      <c r="F378">
        <v>22984</v>
      </c>
      <c r="G378">
        <v>12871</v>
      </c>
    </row>
    <row r="379" spans="1:7" x14ac:dyDescent="0.25">
      <c r="A379" t="s">
        <v>112</v>
      </c>
      <c r="B379" t="s">
        <v>12</v>
      </c>
      <c r="C379" t="s">
        <v>13</v>
      </c>
      <c r="D379" t="s">
        <v>14</v>
      </c>
      <c r="E379">
        <v>5</v>
      </c>
      <c r="F379">
        <v>4550</v>
      </c>
      <c r="G379">
        <v>2502</v>
      </c>
    </row>
    <row r="380" spans="1:7" x14ac:dyDescent="0.25">
      <c r="A380" t="s">
        <v>40</v>
      </c>
      <c r="B380" t="s">
        <v>8</v>
      </c>
      <c r="C380" t="s">
        <v>25</v>
      </c>
      <c r="D380" t="s">
        <v>33</v>
      </c>
      <c r="E380">
        <v>18</v>
      </c>
      <c r="F380">
        <v>14184</v>
      </c>
      <c r="G380">
        <v>9219</v>
      </c>
    </row>
    <row r="381" spans="1:7" x14ac:dyDescent="0.25">
      <c r="A381" t="s">
        <v>87</v>
      </c>
      <c r="B381" t="s">
        <v>20</v>
      </c>
      <c r="C381" t="s">
        <v>16</v>
      </c>
      <c r="D381" t="s">
        <v>18</v>
      </c>
      <c r="E381">
        <v>4</v>
      </c>
      <c r="F381">
        <v>3592</v>
      </c>
      <c r="G381">
        <v>2155</v>
      </c>
    </row>
    <row r="382" spans="1:7" x14ac:dyDescent="0.25">
      <c r="A382" t="s">
        <v>176</v>
      </c>
      <c r="B382" t="s">
        <v>12</v>
      </c>
      <c r="C382" t="s">
        <v>16</v>
      </c>
      <c r="D382" t="s">
        <v>18</v>
      </c>
      <c r="E382">
        <v>3</v>
      </c>
      <c r="F382">
        <v>3033</v>
      </c>
      <c r="G382">
        <v>2183</v>
      </c>
    </row>
    <row r="383" spans="1:7" x14ac:dyDescent="0.25">
      <c r="A383" t="s">
        <v>176</v>
      </c>
      <c r="B383" t="s">
        <v>12</v>
      </c>
      <c r="C383" t="s">
        <v>16</v>
      </c>
      <c r="D383" t="s">
        <v>33</v>
      </c>
      <c r="E383">
        <v>20</v>
      </c>
      <c r="F383">
        <v>22840</v>
      </c>
      <c r="G383">
        <v>15531</v>
      </c>
    </row>
    <row r="384" spans="1:7" x14ac:dyDescent="0.25">
      <c r="A384" t="s">
        <v>172</v>
      </c>
      <c r="B384" t="s">
        <v>12</v>
      </c>
      <c r="C384" t="s">
        <v>25</v>
      </c>
      <c r="D384" t="s">
        <v>33</v>
      </c>
      <c r="E384">
        <v>2</v>
      </c>
      <c r="F384">
        <v>1682</v>
      </c>
      <c r="G384">
        <v>1194</v>
      </c>
    </row>
    <row r="385" spans="1:7" x14ac:dyDescent="0.25">
      <c r="A385" t="s">
        <v>136</v>
      </c>
      <c r="B385" t="s">
        <v>8</v>
      </c>
      <c r="C385" t="s">
        <v>9</v>
      </c>
      <c r="D385" t="s">
        <v>22</v>
      </c>
      <c r="E385">
        <v>6</v>
      </c>
      <c r="F385">
        <v>9474</v>
      </c>
      <c r="G385">
        <v>4831</v>
      </c>
    </row>
    <row r="386" spans="1:7" x14ac:dyDescent="0.25">
      <c r="A386" t="s">
        <v>48</v>
      </c>
      <c r="B386" t="s">
        <v>30</v>
      </c>
      <c r="C386" t="s">
        <v>16</v>
      </c>
      <c r="D386" t="s">
        <v>18</v>
      </c>
      <c r="E386">
        <v>17</v>
      </c>
      <c r="F386">
        <v>16847</v>
      </c>
      <c r="G386">
        <v>8928</v>
      </c>
    </row>
    <row r="387" spans="1:7" x14ac:dyDescent="0.25">
      <c r="A387" t="s">
        <v>153</v>
      </c>
      <c r="B387" t="s">
        <v>8</v>
      </c>
      <c r="C387" t="s">
        <v>16</v>
      </c>
      <c r="D387" t="s">
        <v>10</v>
      </c>
      <c r="E387">
        <v>7</v>
      </c>
      <c r="F387">
        <v>4130</v>
      </c>
      <c r="G387">
        <v>3014</v>
      </c>
    </row>
    <row r="388" spans="1:7" x14ac:dyDescent="0.25">
      <c r="A388" t="s">
        <v>40</v>
      </c>
      <c r="B388" t="s">
        <v>12</v>
      </c>
      <c r="C388" t="s">
        <v>13</v>
      </c>
      <c r="D388" t="s">
        <v>39</v>
      </c>
      <c r="E388">
        <v>1</v>
      </c>
      <c r="F388">
        <v>509</v>
      </c>
      <c r="G388">
        <v>285</v>
      </c>
    </row>
    <row r="389" spans="1:7" x14ac:dyDescent="0.25">
      <c r="A389" t="s">
        <v>76</v>
      </c>
      <c r="B389" t="s">
        <v>20</v>
      </c>
      <c r="C389" t="s">
        <v>9</v>
      </c>
      <c r="D389" t="s">
        <v>10</v>
      </c>
      <c r="E389">
        <v>1</v>
      </c>
      <c r="F389">
        <v>1205</v>
      </c>
      <c r="G389">
        <v>927</v>
      </c>
    </row>
    <row r="390" spans="1:7" x14ac:dyDescent="0.25">
      <c r="A390" t="s">
        <v>174</v>
      </c>
      <c r="B390" t="s">
        <v>30</v>
      </c>
      <c r="C390" t="s">
        <v>13</v>
      </c>
      <c r="D390" t="s">
        <v>22</v>
      </c>
      <c r="E390">
        <v>6</v>
      </c>
      <c r="F390">
        <v>10332</v>
      </c>
      <c r="G390">
        <v>7645</v>
      </c>
    </row>
    <row r="391" spans="1:7" x14ac:dyDescent="0.25">
      <c r="A391" t="s">
        <v>121</v>
      </c>
      <c r="B391" t="s">
        <v>30</v>
      </c>
      <c r="C391" t="s">
        <v>13</v>
      </c>
      <c r="D391" t="s">
        <v>39</v>
      </c>
      <c r="E391">
        <v>13</v>
      </c>
      <c r="F391">
        <v>21554</v>
      </c>
      <c r="G391">
        <v>13794</v>
      </c>
    </row>
    <row r="392" spans="1:7" x14ac:dyDescent="0.25">
      <c r="A392" t="s">
        <v>27</v>
      </c>
      <c r="B392" t="s">
        <v>8</v>
      </c>
      <c r="C392" t="s">
        <v>25</v>
      </c>
      <c r="D392" t="s">
        <v>33</v>
      </c>
      <c r="E392">
        <v>4</v>
      </c>
      <c r="F392">
        <v>6248</v>
      </c>
      <c r="G392">
        <v>4061</v>
      </c>
    </row>
    <row r="393" spans="1:7" x14ac:dyDescent="0.25">
      <c r="A393" t="s">
        <v>159</v>
      </c>
      <c r="B393" t="s">
        <v>20</v>
      </c>
      <c r="C393" t="s">
        <v>16</v>
      </c>
      <c r="D393" t="s">
        <v>10</v>
      </c>
      <c r="E393">
        <v>12</v>
      </c>
      <c r="F393">
        <v>18048</v>
      </c>
      <c r="G393">
        <v>9565</v>
      </c>
    </row>
    <row r="394" spans="1:7" x14ac:dyDescent="0.25">
      <c r="A394" t="s">
        <v>80</v>
      </c>
      <c r="B394" t="s">
        <v>30</v>
      </c>
      <c r="C394" t="s">
        <v>16</v>
      </c>
      <c r="D394" t="s">
        <v>33</v>
      </c>
      <c r="E394">
        <v>3</v>
      </c>
      <c r="F394">
        <v>1935</v>
      </c>
      <c r="G394">
        <v>1161</v>
      </c>
    </row>
    <row r="395" spans="1:7" x14ac:dyDescent="0.25">
      <c r="A395" t="s">
        <v>177</v>
      </c>
      <c r="B395" t="s">
        <v>8</v>
      </c>
      <c r="C395" t="s">
        <v>25</v>
      </c>
      <c r="D395" t="s">
        <v>14</v>
      </c>
      <c r="E395">
        <v>4</v>
      </c>
      <c r="F395">
        <v>6404</v>
      </c>
      <c r="G395">
        <v>3394</v>
      </c>
    </row>
    <row r="396" spans="1:7" x14ac:dyDescent="0.25">
      <c r="A396" t="s">
        <v>73</v>
      </c>
      <c r="B396" t="s">
        <v>12</v>
      </c>
      <c r="C396" t="s">
        <v>25</v>
      </c>
      <c r="D396" t="s">
        <v>22</v>
      </c>
      <c r="E396">
        <v>9</v>
      </c>
      <c r="F396">
        <v>10548</v>
      </c>
      <c r="G396">
        <v>8227</v>
      </c>
    </row>
    <row r="397" spans="1:7" x14ac:dyDescent="0.25">
      <c r="A397" t="s">
        <v>46</v>
      </c>
      <c r="B397" t="s">
        <v>8</v>
      </c>
      <c r="C397" t="s">
        <v>13</v>
      </c>
      <c r="D397" t="s">
        <v>22</v>
      </c>
      <c r="E397">
        <v>16</v>
      </c>
      <c r="F397">
        <v>30432</v>
      </c>
      <c r="G397">
        <v>23432</v>
      </c>
    </row>
    <row r="398" spans="1:7" x14ac:dyDescent="0.25">
      <c r="A398" t="s">
        <v>178</v>
      </c>
      <c r="B398" t="s">
        <v>12</v>
      </c>
      <c r="C398" t="s">
        <v>25</v>
      </c>
      <c r="D398" t="s">
        <v>39</v>
      </c>
      <c r="E398">
        <v>13</v>
      </c>
      <c r="F398">
        <v>23530</v>
      </c>
      <c r="G398">
        <v>13647</v>
      </c>
    </row>
    <row r="399" spans="1:7" x14ac:dyDescent="0.25">
      <c r="A399" t="s">
        <v>102</v>
      </c>
      <c r="B399" t="s">
        <v>8</v>
      </c>
      <c r="C399" t="s">
        <v>13</v>
      </c>
      <c r="D399" t="s">
        <v>39</v>
      </c>
      <c r="E399">
        <v>8</v>
      </c>
      <c r="F399">
        <v>15064</v>
      </c>
      <c r="G399">
        <v>9339</v>
      </c>
    </row>
    <row r="400" spans="1:7" x14ac:dyDescent="0.25">
      <c r="A400" t="s">
        <v>151</v>
      </c>
      <c r="B400" t="s">
        <v>8</v>
      </c>
      <c r="C400" t="s">
        <v>9</v>
      </c>
      <c r="D400" t="s">
        <v>18</v>
      </c>
      <c r="E400">
        <v>16</v>
      </c>
      <c r="F400">
        <v>11632</v>
      </c>
      <c r="G400">
        <v>6281</v>
      </c>
    </row>
    <row r="401" spans="1:7" x14ac:dyDescent="0.25">
      <c r="A401" t="s">
        <v>136</v>
      </c>
      <c r="B401" t="s">
        <v>30</v>
      </c>
      <c r="C401" t="s">
        <v>16</v>
      </c>
      <c r="D401" t="s">
        <v>22</v>
      </c>
      <c r="E401">
        <v>20</v>
      </c>
      <c r="F401">
        <v>35200</v>
      </c>
      <c r="G401">
        <v>18656</v>
      </c>
    </row>
    <row r="402" spans="1:7" x14ac:dyDescent="0.25">
      <c r="A402" t="s">
        <v>121</v>
      </c>
      <c r="B402" t="s">
        <v>20</v>
      </c>
      <c r="C402" t="s">
        <v>25</v>
      </c>
      <c r="D402" t="s">
        <v>22</v>
      </c>
      <c r="E402">
        <v>18</v>
      </c>
      <c r="F402">
        <v>26964</v>
      </c>
      <c r="G402">
        <v>14290</v>
      </c>
    </row>
    <row r="403" spans="1:7" x14ac:dyDescent="0.25">
      <c r="A403" t="s">
        <v>93</v>
      </c>
      <c r="B403" t="s">
        <v>12</v>
      </c>
      <c r="C403" t="s">
        <v>16</v>
      </c>
      <c r="D403" t="s">
        <v>18</v>
      </c>
      <c r="E403">
        <v>4</v>
      </c>
      <c r="F403">
        <v>2928</v>
      </c>
      <c r="G403">
        <v>2137</v>
      </c>
    </row>
    <row r="404" spans="1:7" x14ac:dyDescent="0.25">
      <c r="A404" t="s">
        <v>72</v>
      </c>
      <c r="B404" t="s">
        <v>12</v>
      </c>
      <c r="C404" t="s">
        <v>16</v>
      </c>
      <c r="D404" t="s">
        <v>10</v>
      </c>
      <c r="E404">
        <v>8</v>
      </c>
      <c r="F404">
        <v>15776</v>
      </c>
      <c r="G404">
        <v>8519</v>
      </c>
    </row>
    <row r="405" spans="1:7" x14ac:dyDescent="0.25">
      <c r="A405" t="s">
        <v>36</v>
      </c>
      <c r="B405" t="s">
        <v>20</v>
      </c>
      <c r="C405" t="s">
        <v>16</v>
      </c>
      <c r="D405" t="s">
        <v>14</v>
      </c>
      <c r="E405">
        <v>18</v>
      </c>
      <c r="F405">
        <v>15444</v>
      </c>
      <c r="G405">
        <v>7876</v>
      </c>
    </row>
    <row r="406" spans="1:7" x14ac:dyDescent="0.25">
      <c r="A406" t="s">
        <v>11</v>
      </c>
      <c r="B406" t="s">
        <v>20</v>
      </c>
      <c r="C406" t="s">
        <v>16</v>
      </c>
      <c r="D406" t="s">
        <v>10</v>
      </c>
      <c r="E406">
        <v>11</v>
      </c>
      <c r="F406">
        <v>9361</v>
      </c>
      <c r="G406">
        <v>6178</v>
      </c>
    </row>
    <row r="407" spans="1:7" x14ac:dyDescent="0.25">
      <c r="A407" t="s">
        <v>179</v>
      </c>
      <c r="B407" t="s">
        <v>8</v>
      </c>
      <c r="C407" t="s">
        <v>25</v>
      </c>
      <c r="D407" t="s">
        <v>22</v>
      </c>
      <c r="E407">
        <v>11</v>
      </c>
      <c r="F407">
        <v>5709</v>
      </c>
      <c r="G407">
        <v>4338</v>
      </c>
    </row>
    <row r="408" spans="1:7" x14ac:dyDescent="0.25">
      <c r="A408" t="s">
        <v>156</v>
      </c>
      <c r="B408" t="s">
        <v>8</v>
      </c>
      <c r="C408" t="s">
        <v>13</v>
      </c>
      <c r="D408" t="s">
        <v>22</v>
      </c>
      <c r="E408">
        <v>6</v>
      </c>
      <c r="F408">
        <v>8844</v>
      </c>
      <c r="G408">
        <v>6721</v>
      </c>
    </row>
    <row r="409" spans="1:7" x14ac:dyDescent="0.25">
      <c r="A409" t="s">
        <v>169</v>
      </c>
      <c r="B409" t="s">
        <v>30</v>
      </c>
      <c r="C409" t="s">
        <v>25</v>
      </c>
      <c r="D409" t="s">
        <v>14</v>
      </c>
      <c r="E409">
        <v>5</v>
      </c>
      <c r="F409">
        <v>4775</v>
      </c>
      <c r="G409">
        <v>3676</v>
      </c>
    </row>
    <row r="410" spans="1:7" x14ac:dyDescent="0.25">
      <c r="A410" t="s">
        <v>57</v>
      </c>
      <c r="B410" t="s">
        <v>8</v>
      </c>
      <c r="C410" t="s">
        <v>25</v>
      </c>
      <c r="D410" t="s">
        <v>14</v>
      </c>
      <c r="E410">
        <v>8</v>
      </c>
      <c r="F410">
        <v>8952</v>
      </c>
      <c r="G410">
        <v>5729</v>
      </c>
    </row>
    <row r="411" spans="1:7" x14ac:dyDescent="0.25">
      <c r="A411" t="s">
        <v>100</v>
      </c>
      <c r="B411" t="s">
        <v>20</v>
      </c>
      <c r="C411" t="s">
        <v>9</v>
      </c>
      <c r="D411" t="s">
        <v>33</v>
      </c>
      <c r="E411">
        <v>17</v>
      </c>
      <c r="F411">
        <v>19244</v>
      </c>
      <c r="G411">
        <v>14433</v>
      </c>
    </row>
    <row r="412" spans="1:7" x14ac:dyDescent="0.25">
      <c r="A412" t="s">
        <v>180</v>
      </c>
      <c r="B412" t="s">
        <v>30</v>
      </c>
      <c r="C412" t="s">
        <v>25</v>
      </c>
      <c r="D412" t="s">
        <v>33</v>
      </c>
      <c r="E412">
        <v>16</v>
      </c>
      <c r="F412">
        <v>16624</v>
      </c>
      <c r="G412">
        <v>11304</v>
      </c>
    </row>
    <row r="413" spans="1:7" x14ac:dyDescent="0.25">
      <c r="A413" t="s">
        <v>181</v>
      </c>
      <c r="B413" t="s">
        <v>12</v>
      </c>
      <c r="C413" t="s">
        <v>16</v>
      </c>
      <c r="D413" t="s">
        <v>33</v>
      </c>
      <c r="E413">
        <v>16</v>
      </c>
      <c r="F413">
        <v>17376</v>
      </c>
      <c r="G413">
        <v>13727</v>
      </c>
    </row>
    <row r="414" spans="1:7" x14ac:dyDescent="0.25">
      <c r="A414" t="s">
        <v>133</v>
      </c>
      <c r="B414" t="s">
        <v>8</v>
      </c>
      <c r="C414" t="s">
        <v>25</v>
      </c>
      <c r="D414" t="s">
        <v>39</v>
      </c>
      <c r="E414">
        <v>9</v>
      </c>
      <c r="F414">
        <v>6057</v>
      </c>
      <c r="G414">
        <v>3634</v>
      </c>
    </row>
    <row r="415" spans="1:7" x14ac:dyDescent="0.25">
      <c r="A415" t="s">
        <v>88</v>
      </c>
      <c r="B415" t="s">
        <v>12</v>
      </c>
      <c r="C415" t="s">
        <v>16</v>
      </c>
      <c r="D415" t="s">
        <v>14</v>
      </c>
      <c r="E415">
        <v>16</v>
      </c>
      <c r="F415">
        <v>21040</v>
      </c>
      <c r="G415">
        <v>12834</v>
      </c>
    </row>
    <row r="416" spans="1:7" x14ac:dyDescent="0.25">
      <c r="A416" t="s">
        <v>139</v>
      </c>
      <c r="B416" t="s">
        <v>8</v>
      </c>
      <c r="C416" t="s">
        <v>13</v>
      </c>
      <c r="D416" t="s">
        <v>14</v>
      </c>
      <c r="E416">
        <v>2</v>
      </c>
      <c r="F416">
        <v>2742</v>
      </c>
      <c r="G416">
        <v>1562</v>
      </c>
    </row>
    <row r="417" spans="1:7" x14ac:dyDescent="0.25">
      <c r="A417" t="s">
        <v>106</v>
      </c>
      <c r="B417" t="s">
        <v>20</v>
      </c>
      <c r="C417" t="s">
        <v>25</v>
      </c>
      <c r="D417" t="s">
        <v>33</v>
      </c>
      <c r="E417">
        <v>8</v>
      </c>
      <c r="F417">
        <v>14408</v>
      </c>
      <c r="G417">
        <v>10229</v>
      </c>
    </row>
    <row r="418" spans="1:7" x14ac:dyDescent="0.25">
      <c r="A418" t="s">
        <v>89</v>
      </c>
      <c r="B418" t="s">
        <v>12</v>
      </c>
      <c r="C418" t="s">
        <v>9</v>
      </c>
      <c r="D418" t="s">
        <v>14</v>
      </c>
      <c r="E418">
        <v>3</v>
      </c>
      <c r="F418">
        <v>3858</v>
      </c>
      <c r="G418">
        <v>2160</v>
      </c>
    </row>
    <row r="419" spans="1:7" x14ac:dyDescent="0.25">
      <c r="A419" t="s">
        <v>71</v>
      </c>
      <c r="B419" t="s">
        <v>8</v>
      </c>
      <c r="C419" t="s">
        <v>13</v>
      </c>
      <c r="D419" t="s">
        <v>14</v>
      </c>
      <c r="E419">
        <v>12</v>
      </c>
      <c r="F419">
        <v>12168</v>
      </c>
      <c r="G419">
        <v>8882</v>
      </c>
    </row>
    <row r="420" spans="1:7" x14ac:dyDescent="0.25">
      <c r="A420" t="s">
        <v>140</v>
      </c>
      <c r="B420" t="s">
        <v>30</v>
      </c>
      <c r="C420" t="s">
        <v>25</v>
      </c>
      <c r="D420" t="s">
        <v>22</v>
      </c>
      <c r="E420">
        <v>17</v>
      </c>
      <c r="F420">
        <v>12121</v>
      </c>
      <c r="G420">
        <v>9575</v>
      </c>
    </row>
    <row r="421" spans="1:7" x14ac:dyDescent="0.25">
      <c r="A421" t="s">
        <v>163</v>
      </c>
      <c r="B421" t="s">
        <v>12</v>
      </c>
      <c r="C421" t="s">
        <v>9</v>
      </c>
      <c r="D421" t="s">
        <v>22</v>
      </c>
      <c r="E421">
        <v>13</v>
      </c>
      <c r="F421">
        <v>15535</v>
      </c>
      <c r="G421">
        <v>9631</v>
      </c>
    </row>
    <row r="422" spans="1:7" x14ac:dyDescent="0.25">
      <c r="A422" t="s">
        <v>71</v>
      </c>
      <c r="B422" t="s">
        <v>20</v>
      </c>
      <c r="C422" t="s">
        <v>13</v>
      </c>
      <c r="D422" t="s">
        <v>14</v>
      </c>
      <c r="E422">
        <v>16</v>
      </c>
      <c r="F422">
        <v>20880</v>
      </c>
      <c r="G422">
        <v>13572</v>
      </c>
    </row>
    <row r="423" spans="1:7" x14ac:dyDescent="0.25">
      <c r="A423" t="s">
        <v>67</v>
      </c>
      <c r="B423" t="s">
        <v>8</v>
      </c>
      <c r="C423" t="s">
        <v>25</v>
      </c>
      <c r="D423" t="s">
        <v>39</v>
      </c>
      <c r="E423">
        <v>4</v>
      </c>
      <c r="F423">
        <v>2004</v>
      </c>
      <c r="G423">
        <v>1402</v>
      </c>
    </row>
    <row r="424" spans="1:7" x14ac:dyDescent="0.25">
      <c r="A424" t="s">
        <v>46</v>
      </c>
      <c r="B424" t="s">
        <v>20</v>
      </c>
      <c r="C424" t="s">
        <v>9</v>
      </c>
      <c r="D424" t="s">
        <v>33</v>
      </c>
      <c r="E424">
        <v>14</v>
      </c>
      <c r="F424">
        <v>21812</v>
      </c>
      <c r="G424">
        <v>14614</v>
      </c>
    </row>
    <row r="425" spans="1:7" x14ac:dyDescent="0.25">
      <c r="A425" t="s">
        <v>182</v>
      </c>
      <c r="B425" t="s">
        <v>8</v>
      </c>
      <c r="C425" t="s">
        <v>13</v>
      </c>
      <c r="D425" t="s">
        <v>33</v>
      </c>
      <c r="E425">
        <v>17</v>
      </c>
      <c r="F425">
        <v>20468</v>
      </c>
      <c r="G425">
        <v>14736</v>
      </c>
    </row>
    <row r="426" spans="1:7" x14ac:dyDescent="0.25">
      <c r="A426" t="s">
        <v>150</v>
      </c>
      <c r="B426" t="s">
        <v>20</v>
      </c>
      <c r="C426" t="s">
        <v>25</v>
      </c>
      <c r="D426" t="s">
        <v>39</v>
      </c>
      <c r="E426">
        <v>13</v>
      </c>
      <c r="F426">
        <v>20644</v>
      </c>
      <c r="G426">
        <v>12592</v>
      </c>
    </row>
    <row r="427" spans="1:7" x14ac:dyDescent="0.25">
      <c r="A427" t="s">
        <v>144</v>
      </c>
      <c r="B427" t="s">
        <v>8</v>
      </c>
      <c r="C427" t="s">
        <v>9</v>
      </c>
      <c r="D427" t="s">
        <v>10</v>
      </c>
      <c r="E427">
        <v>12</v>
      </c>
      <c r="F427">
        <v>20928</v>
      </c>
      <c r="G427">
        <v>14440</v>
      </c>
    </row>
    <row r="428" spans="1:7" x14ac:dyDescent="0.25">
      <c r="A428" t="s">
        <v>166</v>
      </c>
      <c r="B428" t="s">
        <v>8</v>
      </c>
      <c r="C428" t="s">
        <v>13</v>
      </c>
      <c r="D428" t="s">
        <v>10</v>
      </c>
      <c r="E428">
        <v>20</v>
      </c>
      <c r="F428">
        <v>27140</v>
      </c>
      <c r="G428">
        <v>18998</v>
      </c>
    </row>
    <row r="429" spans="1:7" x14ac:dyDescent="0.25">
      <c r="A429" t="s">
        <v>117</v>
      </c>
      <c r="B429" t="s">
        <v>20</v>
      </c>
      <c r="C429" t="s">
        <v>9</v>
      </c>
      <c r="D429" t="s">
        <v>33</v>
      </c>
      <c r="E429">
        <v>1</v>
      </c>
      <c r="F429">
        <v>958</v>
      </c>
      <c r="G429">
        <v>555</v>
      </c>
    </row>
    <row r="430" spans="1:7" x14ac:dyDescent="0.25">
      <c r="A430" t="s">
        <v>132</v>
      </c>
      <c r="B430" t="s">
        <v>30</v>
      </c>
      <c r="C430" t="s">
        <v>25</v>
      </c>
      <c r="D430" t="s">
        <v>22</v>
      </c>
      <c r="E430">
        <v>20</v>
      </c>
      <c r="F430">
        <v>38700</v>
      </c>
      <c r="G430">
        <v>28638</v>
      </c>
    </row>
    <row r="431" spans="1:7" x14ac:dyDescent="0.25">
      <c r="A431" t="s">
        <v>112</v>
      </c>
      <c r="B431" t="s">
        <v>8</v>
      </c>
      <c r="C431" t="s">
        <v>9</v>
      </c>
      <c r="D431" t="s">
        <v>33</v>
      </c>
      <c r="E431">
        <v>8</v>
      </c>
      <c r="F431">
        <v>6288</v>
      </c>
      <c r="G431">
        <v>4653</v>
      </c>
    </row>
    <row r="432" spans="1:7" x14ac:dyDescent="0.25">
      <c r="A432" t="s">
        <v>130</v>
      </c>
      <c r="B432" t="s">
        <v>8</v>
      </c>
      <c r="C432" t="s">
        <v>25</v>
      </c>
      <c r="D432" t="s">
        <v>18</v>
      </c>
      <c r="E432">
        <v>16</v>
      </c>
      <c r="F432">
        <v>31424</v>
      </c>
      <c r="G432">
        <v>16654</v>
      </c>
    </row>
    <row r="433" spans="1:7" x14ac:dyDescent="0.25">
      <c r="A433" t="s">
        <v>86</v>
      </c>
      <c r="B433" t="s">
        <v>20</v>
      </c>
      <c r="C433" t="s">
        <v>16</v>
      </c>
      <c r="D433" t="s">
        <v>18</v>
      </c>
      <c r="E433">
        <v>10</v>
      </c>
      <c r="F433">
        <v>5160</v>
      </c>
      <c r="G433">
        <v>3715</v>
      </c>
    </row>
    <row r="434" spans="1:7" x14ac:dyDescent="0.25">
      <c r="A434" t="s">
        <v>114</v>
      </c>
      <c r="B434" t="s">
        <v>20</v>
      </c>
      <c r="C434" t="s">
        <v>25</v>
      </c>
      <c r="D434" t="s">
        <v>39</v>
      </c>
      <c r="E434">
        <v>3</v>
      </c>
      <c r="F434">
        <v>2298</v>
      </c>
      <c r="G434">
        <v>1332</v>
      </c>
    </row>
    <row r="435" spans="1:7" x14ac:dyDescent="0.25">
      <c r="A435" t="s">
        <v>177</v>
      </c>
      <c r="B435" t="s">
        <v>12</v>
      </c>
      <c r="C435" t="s">
        <v>25</v>
      </c>
      <c r="D435" t="s">
        <v>14</v>
      </c>
      <c r="E435">
        <v>19</v>
      </c>
      <c r="F435">
        <v>36176</v>
      </c>
      <c r="G435">
        <v>23152</v>
      </c>
    </row>
    <row r="436" spans="1:7" x14ac:dyDescent="0.25">
      <c r="A436" t="s">
        <v>148</v>
      </c>
      <c r="B436" t="s">
        <v>30</v>
      </c>
      <c r="C436" t="s">
        <v>13</v>
      </c>
      <c r="D436" t="s">
        <v>18</v>
      </c>
      <c r="E436">
        <v>11</v>
      </c>
      <c r="F436">
        <v>11847</v>
      </c>
      <c r="G436">
        <v>8292</v>
      </c>
    </row>
    <row r="437" spans="1:7" x14ac:dyDescent="0.25">
      <c r="A437" t="s">
        <v>80</v>
      </c>
      <c r="B437" t="s">
        <v>12</v>
      </c>
      <c r="C437" t="s">
        <v>9</v>
      </c>
      <c r="D437" t="s">
        <v>10</v>
      </c>
      <c r="E437">
        <v>4</v>
      </c>
      <c r="F437">
        <v>3356</v>
      </c>
      <c r="G437">
        <v>2382</v>
      </c>
    </row>
    <row r="438" spans="1:7" x14ac:dyDescent="0.25">
      <c r="A438" t="s">
        <v>164</v>
      </c>
      <c r="B438" t="s">
        <v>8</v>
      </c>
      <c r="C438" t="s">
        <v>25</v>
      </c>
      <c r="D438" t="s">
        <v>14</v>
      </c>
      <c r="E438">
        <v>7</v>
      </c>
      <c r="F438">
        <v>9681</v>
      </c>
      <c r="G438">
        <v>5324</v>
      </c>
    </row>
    <row r="439" spans="1:7" x14ac:dyDescent="0.25">
      <c r="A439" t="s">
        <v>104</v>
      </c>
      <c r="B439" t="s">
        <v>8</v>
      </c>
      <c r="C439" t="s">
        <v>16</v>
      </c>
      <c r="D439" t="s">
        <v>22</v>
      </c>
      <c r="E439">
        <v>8</v>
      </c>
      <c r="F439">
        <v>4696</v>
      </c>
      <c r="G439">
        <v>3334</v>
      </c>
    </row>
    <row r="440" spans="1:7" x14ac:dyDescent="0.25">
      <c r="A440" t="s">
        <v>69</v>
      </c>
      <c r="B440" t="s">
        <v>30</v>
      </c>
      <c r="C440" t="s">
        <v>25</v>
      </c>
      <c r="D440" t="s">
        <v>18</v>
      </c>
      <c r="E440">
        <v>14</v>
      </c>
      <c r="F440">
        <v>19502</v>
      </c>
      <c r="G440">
        <v>12481</v>
      </c>
    </row>
    <row r="441" spans="1:7" x14ac:dyDescent="0.25">
      <c r="A441" t="s">
        <v>11</v>
      </c>
      <c r="B441" t="s">
        <v>12</v>
      </c>
      <c r="C441" t="s">
        <v>25</v>
      </c>
      <c r="D441" t="s">
        <v>18</v>
      </c>
      <c r="E441">
        <v>1</v>
      </c>
      <c r="F441">
        <v>871</v>
      </c>
      <c r="G441">
        <v>505</v>
      </c>
    </row>
    <row r="442" spans="1:7" x14ac:dyDescent="0.25">
      <c r="A442" t="s">
        <v>81</v>
      </c>
      <c r="B442" t="s">
        <v>20</v>
      </c>
      <c r="C442" t="s">
        <v>13</v>
      </c>
      <c r="D442" t="s">
        <v>22</v>
      </c>
      <c r="E442">
        <v>18</v>
      </c>
      <c r="F442">
        <v>23004</v>
      </c>
      <c r="G442">
        <v>11502</v>
      </c>
    </row>
    <row r="443" spans="1:7" x14ac:dyDescent="0.25">
      <c r="A443" t="s">
        <v>17</v>
      </c>
      <c r="B443" t="s">
        <v>20</v>
      </c>
      <c r="C443" t="s">
        <v>13</v>
      </c>
      <c r="D443" t="s">
        <v>33</v>
      </c>
      <c r="E443">
        <v>1</v>
      </c>
      <c r="F443">
        <v>702</v>
      </c>
      <c r="G443">
        <v>393</v>
      </c>
    </row>
    <row r="444" spans="1:7" x14ac:dyDescent="0.25">
      <c r="A444" t="s">
        <v>183</v>
      </c>
      <c r="B444" t="s">
        <v>8</v>
      </c>
      <c r="C444" t="s">
        <v>9</v>
      </c>
      <c r="D444" t="s">
        <v>22</v>
      </c>
      <c r="E444">
        <v>19</v>
      </c>
      <c r="F444">
        <v>28747</v>
      </c>
      <c r="G444">
        <v>20985</v>
      </c>
    </row>
    <row r="445" spans="1:7" x14ac:dyDescent="0.25">
      <c r="A445" t="s">
        <v>169</v>
      </c>
      <c r="B445" t="s">
        <v>8</v>
      </c>
      <c r="C445" t="s">
        <v>13</v>
      </c>
      <c r="D445" t="s">
        <v>33</v>
      </c>
      <c r="E445">
        <v>14</v>
      </c>
      <c r="F445">
        <v>11354</v>
      </c>
      <c r="G445">
        <v>8969</v>
      </c>
    </row>
    <row r="446" spans="1:7" x14ac:dyDescent="0.25">
      <c r="A446" t="s">
        <v>65</v>
      </c>
      <c r="B446" t="s">
        <v>12</v>
      </c>
      <c r="C446" t="s">
        <v>25</v>
      </c>
      <c r="D446" t="s">
        <v>18</v>
      </c>
      <c r="E446">
        <v>14</v>
      </c>
      <c r="F446">
        <v>11648</v>
      </c>
      <c r="G446">
        <v>8968</v>
      </c>
    </row>
    <row r="447" spans="1:7" x14ac:dyDescent="0.25">
      <c r="A447" t="s">
        <v>70</v>
      </c>
      <c r="B447" t="s">
        <v>30</v>
      </c>
      <c r="C447" t="s">
        <v>9</v>
      </c>
      <c r="D447" t="s">
        <v>18</v>
      </c>
      <c r="E447">
        <v>17</v>
      </c>
      <c r="F447">
        <v>28152</v>
      </c>
      <c r="G447">
        <v>18298</v>
      </c>
    </row>
    <row r="448" spans="1:7" x14ac:dyDescent="0.25">
      <c r="A448" t="s">
        <v>69</v>
      </c>
      <c r="B448" t="s">
        <v>20</v>
      </c>
      <c r="C448" t="s">
        <v>9</v>
      </c>
      <c r="D448" t="s">
        <v>39</v>
      </c>
      <c r="E448">
        <v>19</v>
      </c>
      <c r="F448">
        <v>15333</v>
      </c>
      <c r="G448">
        <v>11346</v>
      </c>
    </row>
    <row r="449" spans="1:7" x14ac:dyDescent="0.25">
      <c r="A449" t="s">
        <v>38</v>
      </c>
      <c r="B449" t="s">
        <v>12</v>
      </c>
      <c r="C449" t="s">
        <v>16</v>
      </c>
      <c r="D449" t="s">
        <v>18</v>
      </c>
      <c r="E449">
        <v>14</v>
      </c>
      <c r="F449">
        <v>11900</v>
      </c>
      <c r="G449">
        <v>9044</v>
      </c>
    </row>
    <row r="450" spans="1:7" x14ac:dyDescent="0.25">
      <c r="A450" t="s">
        <v>98</v>
      </c>
      <c r="B450" t="s">
        <v>30</v>
      </c>
      <c r="C450" t="s">
        <v>25</v>
      </c>
      <c r="D450" t="s">
        <v>33</v>
      </c>
      <c r="E450">
        <v>9</v>
      </c>
      <c r="F450">
        <v>17046</v>
      </c>
      <c r="G450">
        <v>9034</v>
      </c>
    </row>
    <row r="451" spans="1:7" x14ac:dyDescent="0.25">
      <c r="A451" t="s">
        <v>96</v>
      </c>
      <c r="B451" t="s">
        <v>12</v>
      </c>
      <c r="C451" t="s">
        <v>9</v>
      </c>
      <c r="D451" t="s">
        <v>18</v>
      </c>
      <c r="E451">
        <v>6</v>
      </c>
      <c r="F451">
        <v>3030</v>
      </c>
      <c r="G451">
        <v>2181</v>
      </c>
    </row>
    <row r="452" spans="1:7" x14ac:dyDescent="0.25">
      <c r="A452" t="s">
        <v>70</v>
      </c>
      <c r="B452" t="s">
        <v>8</v>
      </c>
      <c r="C452" t="s">
        <v>16</v>
      </c>
      <c r="D452" t="s">
        <v>18</v>
      </c>
      <c r="E452">
        <v>6</v>
      </c>
      <c r="F452">
        <v>6126</v>
      </c>
      <c r="G452">
        <v>3736</v>
      </c>
    </row>
    <row r="453" spans="1:7" x14ac:dyDescent="0.25">
      <c r="A453" t="s">
        <v>168</v>
      </c>
      <c r="B453" t="s">
        <v>20</v>
      </c>
      <c r="C453" t="s">
        <v>25</v>
      </c>
      <c r="D453" t="s">
        <v>33</v>
      </c>
      <c r="E453">
        <v>14</v>
      </c>
      <c r="F453">
        <v>8372</v>
      </c>
      <c r="G453">
        <v>6530</v>
      </c>
    </row>
    <row r="454" spans="1:7" x14ac:dyDescent="0.25">
      <c r="A454" t="s">
        <v>152</v>
      </c>
      <c r="B454" t="s">
        <v>30</v>
      </c>
      <c r="C454" t="s">
        <v>13</v>
      </c>
      <c r="D454" t="s">
        <v>39</v>
      </c>
      <c r="E454">
        <v>17</v>
      </c>
      <c r="F454">
        <v>16881</v>
      </c>
      <c r="G454">
        <v>9790</v>
      </c>
    </row>
    <row r="455" spans="1:7" x14ac:dyDescent="0.25">
      <c r="A455" t="s">
        <v>153</v>
      </c>
      <c r="B455" t="s">
        <v>30</v>
      </c>
      <c r="C455" t="s">
        <v>16</v>
      </c>
      <c r="D455" t="s">
        <v>14</v>
      </c>
      <c r="E455">
        <v>2</v>
      </c>
      <c r="F455">
        <v>1496</v>
      </c>
      <c r="G455">
        <v>987</v>
      </c>
    </row>
    <row r="456" spans="1:7" x14ac:dyDescent="0.25">
      <c r="A456" t="s">
        <v>65</v>
      </c>
      <c r="B456" t="s">
        <v>20</v>
      </c>
      <c r="C456" t="s">
        <v>25</v>
      </c>
      <c r="D456" t="s">
        <v>18</v>
      </c>
      <c r="E456">
        <v>14</v>
      </c>
      <c r="F456">
        <v>18046</v>
      </c>
      <c r="G456">
        <v>9564</v>
      </c>
    </row>
    <row r="457" spans="1:7" x14ac:dyDescent="0.25">
      <c r="A457" t="s">
        <v>178</v>
      </c>
      <c r="B457" t="s">
        <v>20</v>
      </c>
      <c r="C457" t="s">
        <v>25</v>
      </c>
      <c r="D457" t="s">
        <v>39</v>
      </c>
      <c r="E457">
        <v>4</v>
      </c>
      <c r="F457">
        <v>7376</v>
      </c>
      <c r="G457">
        <v>5679</v>
      </c>
    </row>
    <row r="458" spans="1:7" x14ac:dyDescent="0.25">
      <c r="A458" t="s">
        <v>47</v>
      </c>
      <c r="B458" t="s">
        <v>30</v>
      </c>
      <c r="C458" t="s">
        <v>9</v>
      </c>
      <c r="D458" t="s">
        <v>18</v>
      </c>
      <c r="E458">
        <v>19</v>
      </c>
      <c r="F458">
        <v>30609</v>
      </c>
      <c r="G458">
        <v>23262</v>
      </c>
    </row>
    <row r="459" spans="1:7" x14ac:dyDescent="0.25">
      <c r="A459" t="s">
        <v>159</v>
      </c>
      <c r="B459" t="s">
        <v>8</v>
      </c>
      <c r="C459" t="s">
        <v>25</v>
      </c>
      <c r="D459" t="s">
        <v>14</v>
      </c>
      <c r="E459">
        <v>13</v>
      </c>
      <c r="F459">
        <v>11596</v>
      </c>
      <c r="G459">
        <v>6609</v>
      </c>
    </row>
    <row r="460" spans="1:7" x14ac:dyDescent="0.25">
      <c r="A460" t="s">
        <v>147</v>
      </c>
      <c r="B460" t="s">
        <v>12</v>
      </c>
      <c r="C460" t="s">
        <v>25</v>
      </c>
      <c r="D460" t="s">
        <v>14</v>
      </c>
      <c r="E460">
        <v>12</v>
      </c>
      <c r="F460">
        <v>21420</v>
      </c>
      <c r="G460">
        <v>15422</v>
      </c>
    </row>
    <row r="461" spans="1:7" x14ac:dyDescent="0.25">
      <c r="A461" t="s">
        <v>123</v>
      </c>
      <c r="B461" t="s">
        <v>12</v>
      </c>
      <c r="C461" t="s">
        <v>25</v>
      </c>
      <c r="D461" t="s">
        <v>10</v>
      </c>
      <c r="E461">
        <v>1</v>
      </c>
      <c r="F461">
        <v>1785</v>
      </c>
      <c r="G461">
        <v>1142</v>
      </c>
    </row>
    <row r="462" spans="1:7" x14ac:dyDescent="0.25">
      <c r="A462" t="s">
        <v>142</v>
      </c>
      <c r="B462" t="s">
        <v>30</v>
      </c>
      <c r="C462" t="s">
        <v>16</v>
      </c>
      <c r="D462" t="s">
        <v>10</v>
      </c>
      <c r="E462">
        <v>14</v>
      </c>
      <c r="F462">
        <v>11662</v>
      </c>
      <c r="G462">
        <v>8513</v>
      </c>
    </row>
    <row r="463" spans="1:7" x14ac:dyDescent="0.25">
      <c r="A463" t="s">
        <v>184</v>
      </c>
      <c r="B463" t="s">
        <v>30</v>
      </c>
      <c r="C463" t="s">
        <v>25</v>
      </c>
      <c r="D463" t="s">
        <v>33</v>
      </c>
      <c r="E463">
        <v>9</v>
      </c>
      <c r="F463">
        <v>6921</v>
      </c>
      <c r="G463">
        <v>4706</v>
      </c>
    </row>
    <row r="464" spans="1:7" x14ac:dyDescent="0.25">
      <c r="A464" t="s">
        <v>104</v>
      </c>
      <c r="B464" t="s">
        <v>8</v>
      </c>
      <c r="C464" t="s">
        <v>13</v>
      </c>
      <c r="D464" t="s">
        <v>10</v>
      </c>
      <c r="E464">
        <v>3</v>
      </c>
      <c r="F464">
        <v>5004</v>
      </c>
      <c r="G464">
        <v>3502</v>
      </c>
    </row>
    <row r="465" spans="1:7" x14ac:dyDescent="0.25">
      <c r="A465" t="s">
        <v>11</v>
      </c>
      <c r="B465" t="s">
        <v>8</v>
      </c>
      <c r="C465" t="s">
        <v>9</v>
      </c>
      <c r="D465" t="s">
        <v>33</v>
      </c>
      <c r="E465">
        <v>4</v>
      </c>
      <c r="F465">
        <v>7444</v>
      </c>
      <c r="G465">
        <v>4317</v>
      </c>
    </row>
    <row r="466" spans="1:7" x14ac:dyDescent="0.25">
      <c r="A466" t="s">
        <v>161</v>
      </c>
      <c r="B466" t="s">
        <v>8</v>
      </c>
      <c r="C466" t="s">
        <v>9</v>
      </c>
      <c r="D466" t="s">
        <v>39</v>
      </c>
      <c r="E466">
        <v>6</v>
      </c>
      <c r="F466">
        <v>8706</v>
      </c>
      <c r="G466">
        <v>5658</v>
      </c>
    </row>
    <row r="467" spans="1:7" x14ac:dyDescent="0.25">
      <c r="A467" t="s">
        <v>185</v>
      </c>
      <c r="B467" t="s">
        <v>12</v>
      </c>
      <c r="C467" t="s">
        <v>25</v>
      </c>
      <c r="D467" t="s">
        <v>18</v>
      </c>
      <c r="E467">
        <v>6</v>
      </c>
      <c r="F467">
        <v>9234</v>
      </c>
      <c r="G467">
        <v>6002</v>
      </c>
    </row>
    <row r="468" spans="1:7" x14ac:dyDescent="0.25">
      <c r="A468" t="s">
        <v>34</v>
      </c>
      <c r="B468" t="s">
        <v>8</v>
      </c>
      <c r="C468" t="s">
        <v>25</v>
      </c>
      <c r="D468" t="s">
        <v>10</v>
      </c>
      <c r="E468">
        <v>7</v>
      </c>
      <c r="F468">
        <v>5299</v>
      </c>
      <c r="G468">
        <v>2808</v>
      </c>
    </row>
    <row r="469" spans="1:7" x14ac:dyDescent="0.25">
      <c r="A469" t="s">
        <v>11</v>
      </c>
      <c r="B469" t="s">
        <v>30</v>
      </c>
      <c r="C469" t="s">
        <v>13</v>
      </c>
      <c r="D469" t="s">
        <v>22</v>
      </c>
      <c r="E469">
        <v>3</v>
      </c>
      <c r="F469">
        <v>4068</v>
      </c>
      <c r="G469">
        <v>2074</v>
      </c>
    </row>
    <row r="470" spans="1:7" x14ac:dyDescent="0.25">
      <c r="A470" t="s">
        <v>52</v>
      </c>
      <c r="B470" t="s">
        <v>8</v>
      </c>
      <c r="C470" t="s">
        <v>13</v>
      </c>
      <c r="D470" t="s">
        <v>22</v>
      </c>
      <c r="E470">
        <v>3</v>
      </c>
      <c r="F470">
        <v>4965</v>
      </c>
      <c r="G470">
        <v>3177</v>
      </c>
    </row>
    <row r="471" spans="1:7" x14ac:dyDescent="0.25">
      <c r="A471" t="s">
        <v>142</v>
      </c>
      <c r="B471" t="s">
        <v>20</v>
      </c>
      <c r="C471" t="s">
        <v>13</v>
      </c>
      <c r="D471" t="s">
        <v>18</v>
      </c>
      <c r="E471">
        <v>13</v>
      </c>
      <c r="F471">
        <v>19773</v>
      </c>
      <c r="G471">
        <v>11072</v>
      </c>
    </row>
    <row r="472" spans="1:7" x14ac:dyDescent="0.25">
      <c r="A472" t="s">
        <v>42</v>
      </c>
      <c r="B472" t="s">
        <v>12</v>
      </c>
      <c r="C472" t="s">
        <v>9</v>
      </c>
      <c r="D472" t="s">
        <v>10</v>
      </c>
      <c r="E472">
        <v>5</v>
      </c>
      <c r="F472">
        <v>7485</v>
      </c>
      <c r="G472">
        <v>4491</v>
      </c>
    </row>
    <row r="473" spans="1:7" x14ac:dyDescent="0.25">
      <c r="A473" t="s">
        <v>169</v>
      </c>
      <c r="B473" t="s">
        <v>30</v>
      </c>
      <c r="C473" t="s">
        <v>13</v>
      </c>
      <c r="D473" t="s">
        <v>39</v>
      </c>
      <c r="E473">
        <v>6</v>
      </c>
      <c r="F473">
        <v>4704</v>
      </c>
      <c r="G473">
        <v>2681</v>
      </c>
    </row>
    <row r="474" spans="1:7" x14ac:dyDescent="0.25">
      <c r="A474" t="s">
        <v>181</v>
      </c>
      <c r="B474" t="s">
        <v>30</v>
      </c>
      <c r="C474" t="s">
        <v>16</v>
      </c>
      <c r="D474" t="s">
        <v>33</v>
      </c>
      <c r="E474">
        <v>14</v>
      </c>
      <c r="F474">
        <v>27020</v>
      </c>
      <c r="G474">
        <v>14320</v>
      </c>
    </row>
    <row r="475" spans="1:7" x14ac:dyDescent="0.25">
      <c r="A475" t="s">
        <v>89</v>
      </c>
      <c r="B475" t="s">
        <v>12</v>
      </c>
      <c r="C475" t="s">
        <v>16</v>
      </c>
      <c r="D475" t="s">
        <v>10</v>
      </c>
      <c r="E475">
        <v>13</v>
      </c>
      <c r="F475">
        <v>11037</v>
      </c>
      <c r="G475">
        <v>6511</v>
      </c>
    </row>
    <row r="476" spans="1:7" x14ac:dyDescent="0.25">
      <c r="A476" t="s">
        <v>136</v>
      </c>
      <c r="B476" t="s">
        <v>12</v>
      </c>
      <c r="C476" t="s">
        <v>9</v>
      </c>
      <c r="D476" t="s">
        <v>33</v>
      </c>
      <c r="E476">
        <v>2</v>
      </c>
      <c r="F476">
        <v>2436</v>
      </c>
      <c r="G476">
        <v>1339</v>
      </c>
    </row>
    <row r="477" spans="1:7" x14ac:dyDescent="0.25">
      <c r="A477" t="s">
        <v>126</v>
      </c>
      <c r="B477" t="s">
        <v>20</v>
      </c>
      <c r="C477" t="s">
        <v>9</v>
      </c>
      <c r="D477" t="s">
        <v>22</v>
      </c>
      <c r="E477">
        <v>8</v>
      </c>
      <c r="F477">
        <v>15032</v>
      </c>
      <c r="G477">
        <v>10973</v>
      </c>
    </row>
    <row r="478" spans="1:7" x14ac:dyDescent="0.25">
      <c r="A478" t="s">
        <v>186</v>
      </c>
      <c r="B478" t="s">
        <v>30</v>
      </c>
      <c r="C478" t="s">
        <v>16</v>
      </c>
      <c r="D478" t="s">
        <v>33</v>
      </c>
      <c r="E478">
        <v>3</v>
      </c>
      <c r="F478">
        <v>3927</v>
      </c>
      <c r="G478">
        <v>2002</v>
      </c>
    </row>
    <row r="479" spans="1:7" x14ac:dyDescent="0.25">
      <c r="A479" t="s">
        <v>162</v>
      </c>
      <c r="B479" t="s">
        <v>12</v>
      </c>
      <c r="C479" t="s">
        <v>13</v>
      </c>
      <c r="D479" t="s">
        <v>22</v>
      </c>
      <c r="E479">
        <v>7</v>
      </c>
      <c r="F479">
        <v>9289</v>
      </c>
      <c r="G479">
        <v>6873</v>
      </c>
    </row>
    <row r="480" spans="1:7" x14ac:dyDescent="0.25">
      <c r="A480" t="s">
        <v>72</v>
      </c>
      <c r="B480" t="s">
        <v>20</v>
      </c>
      <c r="C480" t="s">
        <v>16</v>
      </c>
      <c r="D480" t="s">
        <v>33</v>
      </c>
      <c r="E480">
        <v>12</v>
      </c>
      <c r="F480">
        <v>7644</v>
      </c>
      <c r="G480">
        <v>5656</v>
      </c>
    </row>
    <row r="481" spans="1:7" x14ac:dyDescent="0.25">
      <c r="A481" t="s">
        <v>98</v>
      </c>
      <c r="B481" t="s">
        <v>12</v>
      </c>
      <c r="C481" t="s">
        <v>16</v>
      </c>
      <c r="D481" t="s">
        <v>33</v>
      </c>
      <c r="E481">
        <v>3</v>
      </c>
      <c r="F481">
        <v>4338</v>
      </c>
      <c r="G481">
        <v>3427</v>
      </c>
    </row>
    <row r="482" spans="1:7" x14ac:dyDescent="0.25">
      <c r="A482" t="s">
        <v>77</v>
      </c>
      <c r="B482" t="s">
        <v>8</v>
      </c>
      <c r="C482" t="s">
        <v>9</v>
      </c>
      <c r="D482" t="s">
        <v>18</v>
      </c>
      <c r="E482">
        <v>8</v>
      </c>
      <c r="F482">
        <v>10360</v>
      </c>
      <c r="G482">
        <v>7666</v>
      </c>
    </row>
    <row r="483" spans="1:7" x14ac:dyDescent="0.25">
      <c r="A483" t="s">
        <v>159</v>
      </c>
      <c r="B483" t="s">
        <v>12</v>
      </c>
      <c r="C483" t="s">
        <v>25</v>
      </c>
      <c r="D483" t="s">
        <v>22</v>
      </c>
      <c r="E483">
        <v>13</v>
      </c>
      <c r="F483">
        <v>7709</v>
      </c>
      <c r="G483">
        <v>4085</v>
      </c>
    </row>
    <row r="484" spans="1:7" x14ac:dyDescent="0.25">
      <c r="A484" t="s">
        <v>139</v>
      </c>
      <c r="B484" t="s">
        <v>30</v>
      </c>
      <c r="C484" t="s">
        <v>9</v>
      </c>
      <c r="D484" t="s">
        <v>33</v>
      </c>
      <c r="E484">
        <v>3</v>
      </c>
      <c r="F484">
        <v>2700</v>
      </c>
      <c r="G484">
        <v>2133</v>
      </c>
    </row>
    <row r="485" spans="1:7" x14ac:dyDescent="0.25">
      <c r="A485" t="s">
        <v>129</v>
      </c>
      <c r="B485" t="s">
        <v>8</v>
      </c>
      <c r="C485" t="s">
        <v>9</v>
      </c>
      <c r="D485" t="s">
        <v>14</v>
      </c>
      <c r="E485">
        <v>16</v>
      </c>
      <c r="F485">
        <v>15888</v>
      </c>
      <c r="G485">
        <v>12551</v>
      </c>
    </row>
    <row r="486" spans="1:7" x14ac:dyDescent="0.25">
      <c r="A486" t="s">
        <v>183</v>
      </c>
      <c r="B486" t="s">
        <v>30</v>
      </c>
      <c r="C486" t="s">
        <v>13</v>
      </c>
      <c r="D486" t="s">
        <v>33</v>
      </c>
      <c r="E486">
        <v>10</v>
      </c>
      <c r="F486">
        <v>19710</v>
      </c>
      <c r="G486">
        <v>14191</v>
      </c>
    </row>
    <row r="487" spans="1:7" x14ac:dyDescent="0.25">
      <c r="A487" t="s">
        <v>113</v>
      </c>
      <c r="B487" t="s">
        <v>30</v>
      </c>
      <c r="C487" t="s">
        <v>25</v>
      </c>
      <c r="D487" t="s">
        <v>14</v>
      </c>
      <c r="E487">
        <v>16</v>
      </c>
      <c r="F487">
        <v>29504</v>
      </c>
      <c r="G487">
        <v>16227</v>
      </c>
    </row>
    <row r="488" spans="1:7" x14ac:dyDescent="0.25">
      <c r="A488" t="s">
        <v>187</v>
      </c>
      <c r="B488" t="s">
        <v>20</v>
      </c>
      <c r="C488" t="s">
        <v>25</v>
      </c>
      <c r="D488" t="s">
        <v>22</v>
      </c>
      <c r="E488">
        <v>5</v>
      </c>
      <c r="F488">
        <v>4920</v>
      </c>
      <c r="G488">
        <v>3394</v>
      </c>
    </row>
    <row r="489" spans="1:7" x14ac:dyDescent="0.25">
      <c r="A489" t="s">
        <v>60</v>
      </c>
      <c r="B489" t="s">
        <v>30</v>
      </c>
      <c r="C489" t="s">
        <v>25</v>
      </c>
      <c r="D489" t="s">
        <v>33</v>
      </c>
      <c r="E489">
        <v>3</v>
      </c>
      <c r="F489">
        <v>2889</v>
      </c>
      <c r="G489">
        <v>1820</v>
      </c>
    </row>
    <row r="490" spans="1:7" x14ac:dyDescent="0.25">
      <c r="A490" t="s">
        <v>58</v>
      </c>
      <c r="B490" t="s">
        <v>12</v>
      </c>
      <c r="C490" t="s">
        <v>13</v>
      </c>
      <c r="D490" t="s">
        <v>22</v>
      </c>
      <c r="E490">
        <v>18</v>
      </c>
      <c r="F490">
        <v>9900</v>
      </c>
      <c r="G490">
        <v>7920</v>
      </c>
    </row>
    <row r="491" spans="1:7" x14ac:dyDescent="0.25">
      <c r="A491" t="s">
        <v>118</v>
      </c>
      <c r="B491" t="s">
        <v>12</v>
      </c>
      <c r="C491" t="s">
        <v>16</v>
      </c>
      <c r="D491" t="s">
        <v>10</v>
      </c>
      <c r="E491">
        <v>13</v>
      </c>
      <c r="F491">
        <v>25896</v>
      </c>
      <c r="G491">
        <v>14760</v>
      </c>
    </row>
    <row r="492" spans="1:7" x14ac:dyDescent="0.25">
      <c r="A492" t="s">
        <v>152</v>
      </c>
      <c r="B492" t="s">
        <v>8</v>
      </c>
      <c r="C492" t="s">
        <v>9</v>
      </c>
      <c r="D492" t="s">
        <v>22</v>
      </c>
      <c r="E492">
        <v>20</v>
      </c>
      <c r="F492">
        <v>38440</v>
      </c>
      <c r="G492">
        <v>26908</v>
      </c>
    </row>
    <row r="493" spans="1:7" x14ac:dyDescent="0.25">
      <c r="A493" t="s">
        <v>177</v>
      </c>
      <c r="B493" t="s">
        <v>30</v>
      </c>
      <c r="C493" t="s">
        <v>9</v>
      </c>
      <c r="D493" t="s">
        <v>18</v>
      </c>
      <c r="E493">
        <v>5</v>
      </c>
      <c r="F493">
        <v>7225</v>
      </c>
      <c r="G493">
        <v>4913</v>
      </c>
    </row>
    <row r="494" spans="1:7" x14ac:dyDescent="0.25">
      <c r="A494" t="s">
        <v>153</v>
      </c>
      <c r="B494" t="s">
        <v>12</v>
      </c>
      <c r="C494" t="s">
        <v>13</v>
      </c>
      <c r="D494" t="s">
        <v>18</v>
      </c>
      <c r="E494">
        <v>19</v>
      </c>
      <c r="F494">
        <v>15200</v>
      </c>
      <c r="G494">
        <v>10792</v>
      </c>
    </row>
    <row r="495" spans="1:7" x14ac:dyDescent="0.25">
      <c r="A495" t="s">
        <v>98</v>
      </c>
      <c r="B495" t="s">
        <v>30</v>
      </c>
      <c r="C495" t="s">
        <v>13</v>
      </c>
      <c r="D495" t="s">
        <v>18</v>
      </c>
      <c r="E495">
        <v>1</v>
      </c>
      <c r="F495">
        <v>908</v>
      </c>
      <c r="G495">
        <v>599</v>
      </c>
    </row>
    <row r="496" spans="1:7" x14ac:dyDescent="0.25">
      <c r="A496" t="s">
        <v>67</v>
      </c>
      <c r="B496" t="s">
        <v>30</v>
      </c>
      <c r="C496" t="s">
        <v>16</v>
      </c>
      <c r="D496" t="s">
        <v>14</v>
      </c>
      <c r="E496">
        <v>5</v>
      </c>
      <c r="F496">
        <v>3035</v>
      </c>
      <c r="G496">
        <v>1699</v>
      </c>
    </row>
    <row r="497" spans="1:7" x14ac:dyDescent="0.25">
      <c r="A497" t="s">
        <v>188</v>
      </c>
      <c r="B497" t="s">
        <v>30</v>
      </c>
      <c r="C497" t="s">
        <v>16</v>
      </c>
      <c r="D497" t="s">
        <v>18</v>
      </c>
      <c r="E497">
        <v>8</v>
      </c>
      <c r="F497">
        <v>11544</v>
      </c>
      <c r="G497">
        <v>8888</v>
      </c>
    </row>
    <row r="498" spans="1:7" x14ac:dyDescent="0.25">
      <c r="A498" t="s">
        <v>184</v>
      </c>
      <c r="B498" t="s">
        <v>8</v>
      </c>
      <c r="C498" t="s">
        <v>9</v>
      </c>
      <c r="D498" t="s">
        <v>22</v>
      </c>
      <c r="E498">
        <v>5</v>
      </c>
      <c r="F498">
        <v>2950</v>
      </c>
      <c r="G498">
        <v>1534</v>
      </c>
    </row>
    <row r="499" spans="1:7" x14ac:dyDescent="0.25">
      <c r="A499" t="s">
        <v>171</v>
      </c>
      <c r="B499" t="s">
        <v>12</v>
      </c>
      <c r="C499" t="s">
        <v>16</v>
      </c>
      <c r="D499" t="s">
        <v>14</v>
      </c>
      <c r="E499">
        <v>5</v>
      </c>
      <c r="F499">
        <v>3180</v>
      </c>
      <c r="G499">
        <v>2067</v>
      </c>
    </row>
    <row r="500" spans="1:7" x14ac:dyDescent="0.25">
      <c r="A500" t="s">
        <v>62</v>
      </c>
      <c r="B500" t="s">
        <v>20</v>
      </c>
      <c r="C500" t="s">
        <v>9</v>
      </c>
      <c r="D500" t="s">
        <v>39</v>
      </c>
      <c r="E500">
        <v>12</v>
      </c>
      <c r="F500">
        <v>11580</v>
      </c>
      <c r="G500">
        <v>7642</v>
      </c>
    </row>
    <row r="501" spans="1:7" x14ac:dyDescent="0.25">
      <c r="A501" t="s">
        <v>178</v>
      </c>
      <c r="B501" t="s">
        <v>20</v>
      </c>
      <c r="C501" t="s">
        <v>16</v>
      </c>
      <c r="D501" t="s">
        <v>18</v>
      </c>
      <c r="E501">
        <v>16</v>
      </c>
      <c r="F501">
        <v>27280</v>
      </c>
      <c r="G501">
        <v>17732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And Dashboard</vt:lpstr>
      <vt:lpstr>Sales_Data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2026-03-14T17:26:14Z</dcterms:created>
  <dcterms:modified xsi:type="dcterms:W3CDTF">2026-03-16T11:38:21Z</dcterms:modified>
</cp:coreProperties>
</file>